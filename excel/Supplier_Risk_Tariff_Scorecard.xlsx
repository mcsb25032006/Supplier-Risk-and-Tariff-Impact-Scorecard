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orecard" sheetId="2" state="visible" r:id="rId2"/>
    <sheet name="Tariff_Scenario_Toggle" sheetId="3" state="visible" r:id="rId3"/>
    <sheet name="Data_Quality_Log" sheetId="4" state="visible" r:id="rId4"/>
    <sheet name="Raw_Suppliers" sheetId="5" state="visible" r:id="rId5"/>
    <sheet name="Raw_POs" sheetId="6" state="visible" r:id="rId6"/>
    <sheet name="Raw_Tariff_Ref" sheetId="7" state="visible" r:id="rId7"/>
    <sheet name="Raw_Tariff_Scenarios" sheetId="8" state="visible" r:id="rId8"/>
    <sheet name="Raw_Def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0.0%"/>
    <numFmt numFmtId="166" formatCode="0.0%;-0.0%"/>
    <numFmt numFmtId="167" formatCode="$#,##0.00"/>
    <numFmt numFmtId="168" formatCode="0.0"/>
    <numFmt numFmtId="169" formatCode="$#,##0"/>
    <numFmt numFmtId="170" formatCode="$#,##0;($#,##0)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0" fontId="4" fillId="0" borderId="1" applyAlignment="1" pivotButton="0" quotePrefix="0" xfId="0">
      <alignment horizontal="center"/>
    </xf>
    <xf numFmtId="165" fontId="3" fillId="0" borderId="0" pivotButton="0" quotePrefix="0" xfId="0"/>
    <xf numFmtId="169" fontId="3" fillId="0" borderId="0" pivotButton="0" quotePrefix="0" xfId="0"/>
    <xf numFmtId="0" fontId="3" fillId="2" borderId="1" pivotButton="0" quotePrefix="0" xfId="0"/>
    <xf numFmtId="166" fontId="4" fillId="0" borderId="0" pivotButton="0" quotePrefix="0" xfId="0"/>
    <xf numFmtId="170" fontId="4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9" fontId="3" fillId="0" borderId="1" pivotButton="0" quotePrefix="0" xfId="0"/>
    <xf numFmtId="170" fontId="3" fillId="0" borderId="1" pivotButton="0" quotePrefix="0" xfId="0"/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167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Supplier Risk &amp; Tariff-Impact Scorecard</t>
        </is>
      </c>
    </row>
    <row r="2">
      <c r="A2" s="2" t="inlineStr">
        <is>
          <t>Datacenter hardware procurement scenario: GPU servers, network switches, PDU/MEP equipment</t>
        </is>
      </c>
    </row>
    <row r="4">
      <c r="A4" s="3" t="inlineStr">
        <is>
          <t>How this workbook is organized</t>
        </is>
      </c>
    </row>
    <row r="5" ht="28" customHeight="1">
      <c r="A5" s="3" t="inlineStr">
        <is>
          <t>Scorecard</t>
        </is>
      </c>
      <c r="B5" s="4" t="inlineStr">
        <is>
          <t>The primary deliverable: on-time rate, lead-time variability, landed cost, tariff exposure, defect rate, and a weighted composite risk score with RAG status, per supplier.</t>
        </is>
      </c>
    </row>
    <row r="6" ht="28" customHeight="1">
      <c r="A6" s="3" t="inlineStr">
        <is>
          <t>Tariff_Scenario_Toggle</t>
        </is>
      </c>
      <c r="B6" s="4" t="inlineStr">
        <is>
          <t>Pick a tariff scenario from the dropdown and see landed spend recalculate per supplier in real time.</t>
        </is>
      </c>
    </row>
    <row r="7" ht="28" customHeight="1">
      <c r="A7" s="3" t="inlineStr">
        <is>
          <t>Data_Quality_Log</t>
        </is>
      </c>
      <c r="B7" s="4" t="inlineStr">
        <is>
          <t>Live formulas auditing the raw export for duplicates and missing values prior to KPI calculation.</t>
        </is>
      </c>
    </row>
    <row r="8" ht="28" customHeight="1">
      <c r="A8" s="3" t="inlineStr">
        <is>
          <t>Raw_Suppliers</t>
        </is>
      </c>
      <c r="B8" s="4" t="inlineStr">
        <is>
          <t>Supplier master data (3 suppliers across US, Mexico, and China).</t>
        </is>
      </c>
    </row>
    <row r="9" ht="28" customHeight="1">
      <c r="A9" s="3" t="inlineStr">
        <is>
          <t>Raw_POs</t>
        </is>
      </c>
      <c r="B9" s="4" t="inlineStr">
        <is>
          <t>344 purchase-order and shipment records simulating a Coupa export with intentional messiness for audit verification.</t>
        </is>
      </c>
    </row>
    <row r="10" ht="28" customHeight="1">
      <c r="A10" s="3" t="inlineStr">
        <is>
          <t>Raw_Tariff_Ref</t>
        </is>
      </c>
      <c r="B10" s="4" t="inlineStr">
        <is>
          <t>Current (July 2026) effective tariff rates by supplier country and HS code.</t>
        </is>
      </c>
    </row>
    <row r="11" ht="28" customHeight="1">
      <c r="A11" s="3" t="inlineStr">
        <is>
          <t>Raw_Tariff_Scenarios</t>
        </is>
      </c>
      <c r="B11" s="4" t="inlineStr">
        <is>
          <t>What-if scenarios feeding the dynamic dropdown on Tariff_Scenario_Toggle.</t>
        </is>
      </c>
    </row>
    <row r="12" ht="28" customHeight="1">
      <c r="A12" s="3" t="inlineStr">
        <is>
          <t>Raw_Defects</t>
        </is>
      </c>
      <c r="B12" s="4" t="inlineStr">
        <is>
          <t>Quality/defect log linked to POs flagged with defects.</t>
        </is>
      </c>
    </row>
    <row r="14">
      <c r="A14" s="3" t="inlineStr">
        <is>
          <t>Color legend</t>
        </is>
      </c>
    </row>
    <row r="15">
      <c r="A15" s="5" t="n"/>
      <c r="B15" s="6" t="inlineStr">
        <is>
          <t>Yellow fill: input cell / scenario selector (edit this)</t>
        </is>
      </c>
    </row>
    <row r="16">
      <c r="A16" s="7" t="n"/>
      <c r="B16" s="6" t="inlineStr">
        <is>
          <t>Green: Low risk (RAG)</t>
        </is>
      </c>
    </row>
    <row r="17">
      <c r="A17" s="8" t="n"/>
      <c r="B17" s="6" t="inlineStr">
        <is>
          <t>Yellow: Moderate risk (RAG)</t>
        </is>
      </c>
    </row>
    <row r="18">
      <c r="A18" s="9" t="n"/>
      <c r="B18" s="6" t="inlineStr">
        <is>
          <t>Red: High risk (RAG)</t>
        </is>
      </c>
    </row>
    <row r="20">
      <c r="A20" s="3" t="inlineStr">
        <is>
          <t>Tariff assumptions (grounded in real July 2026 conditions)</t>
        </is>
      </c>
    </row>
    <row r="21" ht="15" customHeight="1">
      <c r="A21" s="6" t="inlineStr">
        <is>
          <t>• China: 35% effective rate = 10% Section 122 surcharge + 25% Section 301 (source: CBP/USTR guidance as tracked April 2026).</t>
        </is>
      </c>
    </row>
    <row r="22" ht="15" customHeight="1">
      <c r="A22" s="6" t="inlineStr">
        <is>
          <t>• Section 122's 10% surcharge is statutorily capped and sunsets ~Jul 24, 2026 unless renewed - modeled as a scenario.</t>
        </is>
      </c>
    </row>
    <row r="23" ht="15" customHeight="1">
      <c r="A23" s="6" t="inlineStr">
        <is>
          <t>• Mexico: USMCA-qualifying goods carry a ~0% effective rate; non-qualifying goods pay MFN rate.</t>
        </is>
      </c>
    </row>
    <row r="24" ht="15" customHeight="1">
      <c r="A24" s="6" t="inlineStr">
        <is>
          <t>• United States (domestic): 0% tariff exposure in all scenarios.</t>
        </is>
      </c>
    </row>
  </sheetData>
  <mergeCells count="4">
    <mergeCell ref="A24:F24"/>
    <mergeCell ref="A21:F21"/>
    <mergeCell ref="A22:F22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3" customWidth="1" min="4" max="4"/>
    <col width="12" customWidth="1" min="5" max="5"/>
    <col width="12" customWidth="1" min="6" max="6"/>
    <col width="16" customWidth="1" min="7" max="7"/>
    <col width="17" customWidth="1" min="8" max="8"/>
    <col width="15" customWidth="1" min="9" max="9"/>
    <col width="15" customWidth="1" min="10" max="10"/>
    <col width="15" customWidth="1" min="11" max="11"/>
    <col width="13" customWidth="1" min="12" max="12"/>
    <col width="14" customWidth="1" min="13" max="13"/>
    <col width="16" customWidth="1" min="14" max="14"/>
    <col width="11" customWidth="1" min="15" max="15"/>
  </cols>
  <sheetData>
    <row r="1">
      <c r="A1" s="1" t="inlineStr">
        <is>
          <t>Supplier Risk &amp; Tariff-Impact Scorecard</t>
        </is>
      </c>
    </row>
    <row r="2">
      <c r="A2" s="2" t="inlineStr">
        <is>
          <t>Weighted composite risk score: 30% delivery reliability, 20% lead-time volatility, 25% tariff exposure, 25% quality</t>
        </is>
      </c>
    </row>
    <row r="4">
      <c r="A4" s="10" t="inlineStr">
        <is>
          <t>Supplier ID</t>
        </is>
      </c>
      <c r="B4" s="10" t="inlineStr">
        <is>
          <t>Supplier Name</t>
        </is>
      </c>
      <c r="C4" s="10" t="inlineStr">
        <is>
          <t>Country</t>
        </is>
      </c>
      <c r="D4" s="10" t="inlineStr">
        <is>
          <t>Delivered POs</t>
        </is>
      </c>
      <c r="E4" s="10" t="inlineStr">
        <is>
          <t>On Time POs</t>
        </is>
      </c>
      <c r="F4" s="10" t="inlineStr">
        <is>
          <t>On Time Rate</t>
        </is>
      </c>
      <c r="G4" s="10" t="inlineStr">
        <is>
          <t>Avg Lead Time Days</t>
        </is>
      </c>
      <c r="H4" s="10" t="inlineStr">
        <is>
          <t>Lead Time StDev Days</t>
        </is>
      </c>
      <c r="I4" s="10" t="inlineStr">
        <is>
          <t>Total Base Spend</t>
        </is>
      </c>
      <c r="J4" s="10" t="inlineStr">
        <is>
          <t>Total Landed Spend</t>
        </is>
      </c>
      <c r="K4" s="10" t="inlineStr">
        <is>
          <t>Tariff Exposure Pct</t>
        </is>
      </c>
      <c r="L4" s="10" t="inlineStr">
        <is>
          <t>Defect Rate Pct</t>
        </is>
      </c>
      <c r="M4" s="10" t="inlineStr">
        <is>
          <t>Avg Customs Days</t>
        </is>
      </c>
      <c r="N4" s="10" t="inlineStr">
        <is>
          <t>Composite Risk Score</t>
        </is>
      </c>
      <c r="O4" s="10" t="inlineStr">
        <is>
          <t>RAG Status</t>
        </is>
      </c>
    </row>
    <row r="5">
      <c r="A5" s="11" t="inlineStr">
        <is>
          <t>SUP-001</t>
        </is>
      </c>
      <c r="B5" s="11">
        <f>INDEX(Raw_Suppliers!$B$2:$B$4,MATCH(A5,Raw_Suppliers!$A$2:$A$4,0))</f>
        <v/>
      </c>
      <c r="C5" s="11">
        <f>INDEX(Raw_Suppliers!$C$2:$C$4,MATCH(A5,Raw_Suppliers!$A$2:$A$4,0))</f>
        <v/>
      </c>
      <c r="D5" s="11">
        <f>COUNTIFS(Raw_POs!$B$2:$B$345,A5,Raw_POs!$N$2:$N$345,"Delivered",Raw_POs!$W$2:$W$345,1)</f>
        <v/>
      </c>
      <c r="E5" s="11">
        <f>SUMIFS(Raw_POs!$P$2:$P$345,Raw_POs!$B$2:$B$345,A5,Raw_POs!$W$2:$W$345,1)</f>
        <v/>
      </c>
      <c r="F5" s="12">
        <f>IFERROR(E5/D5,0)</f>
        <v/>
      </c>
      <c r="G5" s="13">
        <f>IFERROR(AVERAGEIFS(Raw_POs!$O$2:$O$345,Raw_POs!$B$2:$B$345,A5,Raw_POs!$N$2:$N$345,"Delivered",Raw_POs!$W$2:$W$345,1),0)</f>
        <v/>
      </c>
      <c r="H5" s="13">
        <f>IFERROR(SQRT(SUMPRODUCT((Raw_POs!$B$2:$B$345=A5)*(Raw_POs!$N$2:$N$345="Delivered")*(Raw_POs!$W$2:$W$345=1)*(Raw_POs!$O$2:$O$345)^2)/D5-G5^2),0)</f>
        <v/>
      </c>
      <c r="I5" s="14">
        <f>IFERROR(SUMIFS(Raw_POs!$T$2:$T$345,Raw_POs!$B$2:$B$345,A5,Raw_POs!$W$2:$W$345,1),0)</f>
        <v/>
      </c>
      <c r="J5" s="14">
        <f>IFERROR(SUMIFS(Raw_POs!$V$2:$V$345,Raw_POs!$B$2:$B$345,A5,Raw_POs!$W$2:$W$345,1),0)</f>
        <v/>
      </c>
      <c r="K5" s="12">
        <f>IFERROR((J5-I5)/I5,0)</f>
        <v/>
      </c>
      <c r="L5" s="12">
        <f>IFERROR(COUNTIFS(Raw_POs!$B$2:$B$345,A5,Raw_POs!$N$2:$N$345,"Delivered",Raw_POs!$M$2:$M$345,"Y",Raw_POs!$W$2:$W$345,1)/D5,0)</f>
        <v/>
      </c>
      <c r="M5" s="13">
        <f>IFERROR(AVERAGEIFS(Raw_POs!$L$2:$L$345,Raw_POs!$B$2:$B$345,A5,Raw_POs!$W$2:$W$345,1),0)</f>
        <v/>
      </c>
      <c r="N5" s="13">
        <f>ROUND(0.30*(1-F5)*100+0.20*MIN(H5/20*100,100)+0.25*K5*100+0.25*L5*100,1)</f>
        <v/>
      </c>
      <c r="O5" s="15">
        <f>IF(N5&gt;=30,"Red",IF(N5&gt;=15,"Yellow","Green"))</f>
        <v/>
      </c>
    </row>
    <row r="6">
      <c r="A6" s="11" t="inlineStr">
        <is>
          <t>SUP-002</t>
        </is>
      </c>
      <c r="B6" s="11">
        <f>INDEX(Raw_Suppliers!$B$2:$B$4,MATCH(A6,Raw_Suppliers!$A$2:$A$4,0))</f>
        <v/>
      </c>
      <c r="C6" s="11">
        <f>INDEX(Raw_Suppliers!$C$2:$C$4,MATCH(A6,Raw_Suppliers!$A$2:$A$4,0))</f>
        <v/>
      </c>
      <c r="D6" s="11">
        <f>COUNTIFS(Raw_POs!$B$2:$B$345,A6,Raw_POs!$N$2:$N$345,"Delivered",Raw_POs!$W$2:$W$345,1)</f>
        <v/>
      </c>
      <c r="E6" s="11">
        <f>SUMIFS(Raw_POs!$P$2:$P$345,Raw_POs!$B$2:$B$345,A6,Raw_POs!$W$2:$W$345,1)</f>
        <v/>
      </c>
      <c r="F6" s="12">
        <f>IFERROR(E6/D6,0)</f>
        <v/>
      </c>
      <c r="G6" s="13">
        <f>IFERROR(AVERAGEIFS(Raw_POs!$O$2:$O$345,Raw_POs!$B$2:$B$345,A6,Raw_POs!$N$2:$N$345,"Delivered",Raw_POs!$W$2:$W$345,1),0)</f>
        <v/>
      </c>
      <c r="H6" s="13">
        <f>IFERROR(SQRT(SUMPRODUCT((Raw_POs!$B$2:$B$345=A6)*(Raw_POs!$N$2:$N$345="Delivered")*(Raw_POs!$W$2:$W$345=1)*(Raw_POs!$O$2:$O$345)^2)/D6-G6^2),0)</f>
        <v/>
      </c>
      <c r="I6" s="14">
        <f>IFERROR(SUMIFS(Raw_POs!$T$2:$T$345,Raw_POs!$B$2:$B$345,A6,Raw_POs!$W$2:$W$345,1),0)</f>
        <v/>
      </c>
      <c r="J6" s="14">
        <f>IFERROR(SUMIFS(Raw_POs!$V$2:$V$345,Raw_POs!$B$2:$B$345,A6,Raw_POs!$W$2:$W$345,1),0)</f>
        <v/>
      </c>
      <c r="K6" s="12">
        <f>IFERROR((J6-I6)/I6,0)</f>
        <v/>
      </c>
      <c r="L6" s="12">
        <f>IFERROR(COUNTIFS(Raw_POs!$B$2:$B$345,A6,Raw_POs!$N$2:$N$345,"Delivered",Raw_POs!$M$2:$M$345,"Y",Raw_POs!$W$2:$W$345,1)/D6,0)</f>
        <v/>
      </c>
      <c r="M6" s="13">
        <f>IFERROR(AVERAGEIFS(Raw_POs!$L$2:$L$345,Raw_POs!$B$2:$B$345,A6,Raw_POs!$W$2:$W$345,1),0)</f>
        <v/>
      </c>
      <c r="N6" s="13">
        <f>ROUND(0.30*(1-F6)*100+0.20*MIN(H6/20*100,100)+0.25*K6*100+0.25*L6*100,1)</f>
        <v/>
      </c>
      <c r="O6" s="15">
        <f>IF(N6&gt;=30,"Red",IF(N6&gt;=15,"Yellow","Green"))</f>
        <v/>
      </c>
    </row>
    <row r="7">
      <c r="A7" s="11" t="inlineStr">
        <is>
          <t>SUP-003</t>
        </is>
      </c>
      <c r="B7" s="11">
        <f>INDEX(Raw_Suppliers!$B$2:$B$4,MATCH(A7,Raw_Suppliers!$A$2:$A$4,0))</f>
        <v/>
      </c>
      <c r="C7" s="11">
        <f>INDEX(Raw_Suppliers!$C$2:$C$4,MATCH(A7,Raw_Suppliers!$A$2:$A$4,0))</f>
        <v/>
      </c>
      <c r="D7" s="11">
        <f>COUNTIFS(Raw_POs!$B$2:$B$345,A7,Raw_POs!$N$2:$N$345,"Delivered",Raw_POs!$W$2:$W$345,1)</f>
        <v/>
      </c>
      <c r="E7" s="11">
        <f>SUMIFS(Raw_POs!$P$2:$P$345,Raw_POs!$B$2:$B$345,A7,Raw_POs!$W$2:$W$345,1)</f>
        <v/>
      </c>
      <c r="F7" s="12">
        <f>IFERROR(E7/D7,0)</f>
        <v/>
      </c>
      <c r="G7" s="13">
        <f>IFERROR(AVERAGEIFS(Raw_POs!$O$2:$O$345,Raw_POs!$B$2:$B$345,A7,Raw_POs!$N$2:$N$345,"Delivered",Raw_POs!$W$2:$W$345,1),0)</f>
        <v/>
      </c>
      <c r="H7" s="13">
        <f>IFERROR(SQRT(SUMPRODUCT((Raw_POs!$B$2:$B$345=A7)*(Raw_POs!$N$2:$N$345="Delivered")*(Raw_POs!$W$2:$W$345=1)*(Raw_POs!$O$2:$O$345)^2)/D7-G7^2),0)</f>
        <v/>
      </c>
      <c r="I7" s="14">
        <f>IFERROR(SUMIFS(Raw_POs!$T$2:$T$345,Raw_POs!$B$2:$B$345,A7,Raw_POs!$W$2:$W$345,1),0)</f>
        <v/>
      </c>
      <c r="J7" s="14">
        <f>IFERROR(SUMIFS(Raw_POs!$V$2:$V$345,Raw_POs!$B$2:$B$345,A7,Raw_POs!$W$2:$W$345,1),0)</f>
        <v/>
      </c>
      <c r="K7" s="12">
        <f>IFERROR((J7-I7)/I7,0)</f>
        <v/>
      </c>
      <c r="L7" s="12">
        <f>IFERROR(COUNTIFS(Raw_POs!$B$2:$B$345,A7,Raw_POs!$N$2:$N$345,"Delivered",Raw_POs!$M$2:$M$345,"Y",Raw_POs!$W$2:$W$345,1)/D7,0)</f>
        <v/>
      </c>
      <c r="M7" s="13">
        <f>IFERROR(AVERAGEIFS(Raw_POs!$L$2:$L$345,Raw_POs!$B$2:$B$345,A7,Raw_POs!$W$2:$W$345,1),0)</f>
        <v/>
      </c>
      <c r="N7" s="13">
        <f>ROUND(0.30*(1-F7)*100+0.20*MIN(H7/20*100,100)+0.25*K7*100+0.25*L7*100,1)</f>
        <v/>
      </c>
      <c r="O7" s="15">
        <f>IF(N7&gt;=30,"Red",IF(N7&gt;=15,"Yellow","Green"))</f>
        <v/>
      </c>
    </row>
    <row r="8">
      <c r="B8" s="3" t="inlineStr">
        <is>
          <t>TOTAL / BLENDED</t>
        </is>
      </c>
      <c r="D8" s="3">
        <f>SUM(D5:D7)</f>
        <v/>
      </c>
      <c r="E8" s="3">
        <f>SUM(E5:E7)</f>
        <v/>
      </c>
      <c r="F8" s="16">
        <f>IFERROR(E8/D8,0)</f>
        <v/>
      </c>
      <c r="I8" s="17">
        <f>SUM(I5:I7)</f>
        <v/>
      </c>
      <c r="J8" s="17">
        <f>SUM(J5:J7)</f>
        <v/>
      </c>
      <c r="K8" s="16">
        <f>IFERROR((J8-I8)/I8,0)</f>
        <v/>
      </c>
    </row>
  </sheetData>
  <conditionalFormatting sqref="N5:N7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O5:O7">
    <cfRule type="cellIs" priority="2" operator="equal" dxfId="0">
      <formula>"Red"</formula>
    </cfRule>
    <cfRule type="cellIs" priority="3" operator="equal" dxfId="1">
      <formula>"Yellow"</formula>
    </cfRule>
    <cfRule type="cellIs" priority="4" operator="equal" dxfId="2">
      <formula>"Green"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4" customWidth="1" min="4" max="4"/>
    <col width="18" customWidth="1" min="5" max="5"/>
    <col width="16" customWidth="1" min="6" max="6"/>
    <col width="18" customWidth="1" min="7" max="7"/>
    <col width="22" customWidth="1" min="8" max="8"/>
    <col width="40" customWidth="1" min="9" max="9"/>
  </cols>
  <sheetData>
    <row r="1">
      <c r="A1" s="1" t="inlineStr">
        <is>
          <t>Tariff Scenario Simulation Toggle</t>
        </is>
      </c>
    </row>
    <row r="2">
      <c r="A2" s="2" t="inlineStr">
        <is>
          <t>Select a scenario from the dropdown to recalculate landed spend across all suppliers.</t>
        </is>
      </c>
    </row>
    <row r="4">
      <c r="A4" s="3" t="inlineStr">
        <is>
          <t>Select Tariff Scenario:</t>
        </is>
      </c>
      <c r="B4" s="18" t="inlineStr">
        <is>
          <t>Current (Jul 2026)</t>
        </is>
      </c>
      <c r="D4" s="6" t="inlineStr">
        <is>
          <t>Adjustment Type:</t>
        </is>
      </c>
      <c r="E4" s="6">
        <f>IFERROR(INDEX(Raw_Tariff_Scenarios!$B$2:$B$6,MATCH($B$4,Raw_Tariff_Scenarios!$A$2:$A$6,0)),"")</f>
        <v/>
      </c>
      <c r="F4" s="6" t="inlineStr">
        <is>
          <t>Adjustment Value:</t>
        </is>
      </c>
      <c r="G4" s="19">
        <f>IFERROR(INDEX(Raw_Tariff_Scenarios!$C$2:$C$6,MATCH($B$4,Raw_Tariff_Scenarios!$A$2:$A$6,0)),0)</f>
        <v/>
      </c>
      <c r="H4" s="6" t="inlineStr">
        <is>
          <t>Scenario Description:</t>
        </is>
      </c>
      <c r="I4" s="6">
        <f>IFERROR(INDEX(Raw_Tariff_Scenarios!$D$2:$D$6,MATCH($B$4,Raw_Tariff_Scenarios!$A$2:$A$6,0)),"")</f>
        <v/>
      </c>
    </row>
    <row r="6">
      <c r="A6" s="10" t="inlineStr">
        <is>
          <t>Supplier ID</t>
        </is>
      </c>
      <c r="B6" s="10" t="inlineStr">
        <is>
          <t>Supplier Name</t>
        </is>
      </c>
      <c r="C6" s="10" t="inlineStr">
        <is>
          <t>Country</t>
        </is>
      </c>
      <c r="D6" s="10" t="inlineStr">
        <is>
          <t>Base Spend</t>
        </is>
      </c>
      <c r="E6" s="10" t="inlineStr">
        <is>
          <t>Current Effective Rate</t>
        </is>
      </c>
      <c r="F6" s="10" t="inlineStr">
        <is>
          <t>Scenario New Rate</t>
        </is>
      </c>
      <c r="G6" s="10" t="inlineStr">
        <is>
          <t>Scenario Landed Spend</t>
        </is>
      </c>
      <c r="H6" s="10" t="inlineStr">
        <is>
          <t>Delta vs Current Landed Spend</t>
        </is>
      </c>
    </row>
    <row r="7">
      <c r="A7" s="11">
        <f>Scorecard!A5</f>
        <v/>
      </c>
      <c r="B7" s="11">
        <f>Scorecard!B5</f>
        <v/>
      </c>
      <c r="C7" s="11">
        <f>Scorecard!C5</f>
        <v/>
      </c>
      <c r="D7" s="14">
        <f>Scorecard!I5</f>
        <v/>
      </c>
      <c r="E7" s="12">
        <f>Scorecard!K5</f>
        <v/>
      </c>
      <c r="F7" s="12">
        <f>IF(C7="United States",0,IF($E$4="Additive",MAX(0,E7+$G$4),$G$4))</f>
        <v/>
      </c>
      <c r="G7" s="14">
        <f>D7*(1+F7)</f>
        <v/>
      </c>
      <c r="H7" s="20">
        <f>G7-D7*(1+E7)</f>
        <v/>
      </c>
    </row>
    <row r="8">
      <c r="A8" s="11">
        <f>Scorecard!A6</f>
        <v/>
      </c>
      <c r="B8" s="11">
        <f>Scorecard!B6</f>
        <v/>
      </c>
      <c r="C8" s="11">
        <f>Scorecard!C6</f>
        <v/>
      </c>
      <c r="D8" s="14">
        <f>Scorecard!I6</f>
        <v/>
      </c>
      <c r="E8" s="12">
        <f>Scorecard!K6</f>
        <v/>
      </c>
      <c r="F8" s="12">
        <f>IF(C8="United States",0,IF($E$4="Additive",MAX(0,E8+$G$4),$G$4))</f>
        <v/>
      </c>
      <c r="G8" s="14">
        <f>D8*(1+F8)</f>
        <v/>
      </c>
      <c r="H8" s="20">
        <f>G8-D8*(1+E8)</f>
        <v/>
      </c>
    </row>
    <row r="9">
      <c r="A9" s="11">
        <f>Scorecard!A7</f>
        <v/>
      </c>
      <c r="B9" s="11">
        <f>Scorecard!B7</f>
        <v/>
      </c>
      <c r="C9" s="11">
        <f>Scorecard!C7</f>
        <v/>
      </c>
      <c r="D9" s="14">
        <f>Scorecard!I7</f>
        <v/>
      </c>
      <c r="E9" s="12">
        <f>Scorecard!K7</f>
        <v/>
      </c>
      <c r="F9" s="12">
        <f>IF(C9="United States",0,IF($E$4="Additive",MAX(0,E9+$G$4),$G$4))</f>
        <v/>
      </c>
      <c r="G9" s="14">
        <f>D9*(1+F9)</f>
        <v/>
      </c>
      <c r="H9" s="20">
        <f>G9-D9*(1+E9)</f>
        <v/>
      </c>
    </row>
    <row r="10">
      <c r="A10" s="21" t="n"/>
      <c r="B10" s="22" t="inlineStr">
        <is>
          <t>TOTAL</t>
        </is>
      </c>
      <c r="C10" s="21" t="n"/>
      <c r="D10" s="23">
        <f>SUM(D7:D9)</f>
        <v/>
      </c>
      <c r="E10" s="21" t="n"/>
      <c r="F10" s="21" t="n"/>
      <c r="G10" s="23">
        <f>SUM(G7:G9)</f>
        <v/>
      </c>
      <c r="H10" s="24">
        <f>SUM(H7:H9)</f>
        <v/>
      </c>
    </row>
  </sheetData>
  <mergeCells count="1">
    <mergeCell ref="I4:N4"/>
  </mergeCells>
  <conditionalFormatting sqref="H7:H10">
    <cfRule type="colorScale" priority="1">
      <colorScale>
        <cfvo type="min"/>
        <cfvo type="num" val="0"/>
        <cfvo type="max"/>
        <color rgb="00C6EFCE"/>
        <color rgb="00FFEB9C"/>
        <color rgb="00FFC7CE"/>
      </colorScale>
    </cfRule>
  </conditionalFormatting>
  <dataValidations count="1">
    <dataValidation sqref="B4" showDropDown="0" showInputMessage="0" showErrorMessage="0" allowBlank="0" type="list">
      <formula1>=Raw_Tariff_Scenarios!$A$2:$A$6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Data Quality Audit: Raw_POs Export</t>
        </is>
      </c>
    </row>
    <row r="2">
      <c r="A2" s="2" t="inlineStr">
        <is>
          <t>Live formulas auditing the raw Coupa export prior to KPI derivation.</t>
        </is>
      </c>
    </row>
    <row r="3">
      <c r="A3" s="10" t="inlineStr">
        <is>
          <t>Audit Check</t>
        </is>
      </c>
      <c r="B3" s="10" t="inlineStr">
        <is>
          <t>Result</t>
        </is>
      </c>
    </row>
    <row r="4">
      <c r="A4" s="6" t="inlineStr">
        <is>
          <t>Total PO rows in export</t>
        </is>
      </c>
      <c r="B4" s="6">
        <f>COUNTA(Raw_POs!A2:A345)</f>
        <v/>
      </c>
    </row>
    <row r="5">
      <c r="A5" s="6" t="inlineStr">
        <is>
          <t>Unique PO_IDs</t>
        </is>
      </c>
      <c r="B5" s="6">
        <f>SUMPRODUCT(1/COUNTIF(Raw_POs!A2:A345,Raw_POs!A2:A345))</f>
        <v/>
      </c>
    </row>
    <row r="6">
      <c r="A6" s="6" t="inlineStr">
        <is>
          <t>Duplicate row count (rows minus unique IDs)</t>
        </is>
      </c>
      <c r="B6" s="6">
        <f>B4-B5</f>
        <v/>
      </c>
    </row>
    <row r="7">
      <c r="A7" s="6" t="inlineStr">
        <is>
          <t>Rows missing Unit_Cost_USD (pending invoice reconciliation)</t>
        </is>
      </c>
      <c r="B7" s="6">
        <f>COUNTBLANK(Raw_POs!G2:G345)</f>
        <v/>
      </c>
    </row>
    <row r="8">
      <c r="A8" s="6" t="inlineStr">
        <is>
          <t>POs still In Transit (excluded from on-time/lead-time KPIs)</t>
        </is>
      </c>
      <c r="B8" s="6">
        <f>COUNTIF(Raw_POs!N2:N345,"In Transit")</f>
        <v/>
      </c>
    </row>
    <row r="9">
      <c r="A9" s="6" t="inlineStr">
        <is>
          <t>Inconsistent-case Incoterm values found</t>
        </is>
      </c>
      <c r="B9" s="6">
        <f>SUMPRODUCT(--(EXACT(Raw_POs!H2:H345,UPPER(Raw_POs!H2:H345))=FALSE))</f>
        <v/>
      </c>
    </row>
    <row r="11">
      <c r="A11" s="3" t="inlineStr">
        <is>
          <t>Data Cleaning &amp; Deduplication Architecture</t>
        </is>
      </c>
    </row>
    <row r="12" ht="40" customHeight="1">
      <c r="A12" s="25" t="inlineStr">
        <is>
          <t>The raw export simulates typical ERP portal noise (re-keyed orders and unreconciled invoice lines). Raw_POs column W (Is_First_Occurrence) flags duplicate entries to ensure every Scorecard formula, SQL query, and Python pipeline step computes strictly identical KPIs across all deliverables.</t>
        </is>
      </c>
    </row>
  </sheetData>
  <mergeCells count="1"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2" customWidth="1" min="4" max="4"/>
    <col width="16" customWidth="1" min="5" max="5"/>
    <col width="18" customWidth="1" min="6" max="6"/>
    <col width="16" customWidth="1" min="7" max="7"/>
    <col width="18" customWidth="1" min="8" max="8"/>
  </cols>
  <sheetData>
    <row r="1">
      <c r="A1" s="10" t="inlineStr">
        <is>
          <t>Supplier_ID</t>
        </is>
      </c>
      <c r="B1" s="10" t="inlineStr">
        <is>
          <t>Supplier_Name</t>
        </is>
      </c>
      <c r="C1" s="10" t="inlineStr">
        <is>
          <t>Country</t>
        </is>
      </c>
      <c r="D1" s="10" t="inlineStr">
        <is>
          <t>Region</t>
        </is>
      </c>
      <c r="E1" s="10" t="inlineStr">
        <is>
          <t>City</t>
        </is>
      </c>
      <c r="F1" s="10" t="inlineStr">
        <is>
          <t>Primary_Category</t>
        </is>
      </c>
      <c r="G1" s="10" t="inlineStr">
        <is>
          <t>Onboarded_Date</t>
        </is>
      </c>
      <c r="H1" s="10" t="inlineStr">
        <is>
          <t>USMCA_Qualifying</t>
        </is>
      </c>
    </row>
    <row r="2">
      <c r="A2" s="6" t="inlineStr">
        <is>
          <t>SUP-001</t>
        </is>
      </c>
      <c r="B2" s="6" t="inlineStr">
        <is>
          <t>TitanForge Components</t>
        </is>
      </c>
      <c r="C2" s="6" t="inlineStr">
        <is>
          <t>United States</t>
        </is>
      </c>
      <c r="D2" s="6" t="inlineStr">
        <is>
          <t>Domestic</t>
        </is>
      </c>
      <c r="E2" s="6" t="inlineStr">
        <is>
          <t>Columbus, OH</t>
        </is>
      </c>
      <c r="F2" s="6" t="inlineStr">
        <is>
          <t>GPU Servers</t>
        </is>
      </c>
      <c r="G2" s="26" t="n">
        <v>44999</v>
      </c>
      <c r="H2" s="6" t="n">
        <v/>
      </c>
    </row>
    <row r="3">
      <c r="A3" s="6" t="inlineStr">
        <is>
          <t>SUP-002</t>
        </is>
      </c>
      <c r="B3" s="6" t="inlineStr">
        <is>
          <t>Bajio Precision Systems</t>
        </is>
      </c>
      <c r="C3" s="6" t="inlineStr">
        <is>
          <t>Mexico</t>
        </is>
      </c>
      <c r="D3" s="6" t="inlineStr">
        <is>
          <t>Nearshore</t>
        </is>
      </c>
      <c r="E3" s="6" t="inlineStr">
        <is>
          <t>Queretaro, MX</t>
        </is>
      </c>
      <c r="F3" s="6" t="inlineStr">
        <is>
          <t>Network Switches</t>
        </is>
      </c>
      <c r="G3" s="26" t="n">
        <v>45313</v>
      </c>
      <c r="H3" s="6" t="inlineStr">
        <is>
          <t>Y</t>
        </is>
      </c>
    </row>
    <row r="4">
      <c r="A4" s="6" t="inlineStr">
        <is>
          <t>SUP-003</t>
        </is>
      </c>
      <c r="B4" s="6" t="inlineStr">
        <is>
          <t>Zhongxin Compute Manufacturing</t>
        </is>
      </c>
      <c r="C4" s="6" t="inlineStr">
        <is>
          <t>China</t>
        </is>
      </c>
      <c r="D4" s="6" t="inlineStr">
        <is>
          <t>Offshore</t>
        </is>
      </c>
      <c r="E4" s="6" t="inlineStr">
        <is>
          <t>Shenzhen, CN</t>
        </is>
      </c>
      <c r="F4" s="6" t="inlineStr">
        <is>
          <t>PDU / MEP Equipment</t>
        </is>
      </c>
      <c r="G4" s="26" t="n">
        <v>44805</v>
      </c>
      <c r="H4" s="6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2" customWidth="1" min="5" max="5"/>
    <col width="10" customWidth="1" min="6" max="6"/>
    <col width="13" customWidth="1" min="7" max="7"/>
    <col width="10" customWidth="1" min="8" max="8"/>
    <col width="11" customWidth="1" min="9" max="9"/>
    <col width="14" customWidth="1" min="10" max="10"/>
    <col width="14" customWidth="1" min="11" max="11"/>
    <col width="11" customWidth="1" min="12" max="12"/>
    <col width="10" customWidth="1" min="13" max="13"/>
    <col width="11" customWidth="1" min="14" max="14"/>
    <col width="12" customWidth="1" min="15" max="15"/>
    <col width="11" customWidth="1" min="16" max="16"/>
    <col width="14" customWidth="1" min="17" max="17"/>
    <col width="16" customWidth="1" min="18" max="18"/>
    <col width="14" customWidth="1" min="19" max="19"/>
    <col width="14" customWidth="1" min="20" max="20"/>
    <col width="15" customWidth="1" min="21" max="21"/>
    <col width="15" customWidth="1" min="22" max="22"/>
    <col width="18" customWidth="1" min="23" max="23"/>
  </cols>
  <sheetData>
    <row r="1">
      <c r="A1" s="10" t="inlineStr">
        <is>
          <t>PO_ID</t>
        </is>
      </c>
      <c r="B1" s="10" t="inlineStr">
        <is>
          <t>Supplier_ID</t>
        </is>
      </c>
      <c r="C1" s="10" t="inlineStr">
        <is>
          <t>Product_Category</t>
        </is>
      </c>
      <c r="D1" s="10" t="inlineStr">
        <is>
          <t>HS_Code</t>
        </is>
      </c>
      <c r="E1" s="10" t="inlineStr">
        <is>
          <t>PO_Date</t>
        </is>
      </c>
      <c r="F1" s="10" t="inlineStr">
        <is>
          <t>Quantity</t>
        </is>
      </c>
      <c r="G1" s="10" t="inlineStr">
        <is>
          <t>Unit_Cost_USD</t>
        </is>
      </c>
      <c r="H1" s="10" t="inlineStr">
        <is>
          <t>Incoterm</t>
        </is>
      </c>
      <c r="I1" s="10" t="inlineStr">
        <is>
          <t>Freight_Mode</t>
        </is>
      </c>
      <c r="J1" s="10" t="inlineStr">
        <is>
          <t>Promised_Delivery_Date</t>
        </is>
      </c>
      <c r="K1" s="10" t="inlineStr">
        <is>
          <t>Actual_Delivery_Date</t>
        </is>
      </c>
      <c r="L1" s="10" t="inlineStr">
        <is>
          <t>Customs_Clearance_Days</t>
        </is>
      </c>
      <c r="M1" s="10" t="inlineStr">
        <is>
          <t>Defect_Flag</t>
        </is>
      </c>
      <c r="N1" s="10" t="inlineStr">
        <is>
          <t>PO_Status</t>
        </is>
      </c>
      <c r="O1" s="10" t="inlineStr">
        <is>
          <t>Lead_Time_Days</t>
        </is>
      </c>
      <c r="P1" s="10" t="inlineStr">
        <is>
          <t>On_Time_Flag</t>
        </is>
      </c>
      <c r="Q1" s="10" t="inlineStr">
        <is>
          <t>Supplier_Country</t>
        </is>
      </c>
      <c r="R1" s="10" t="inlineStr">
        <is>
          <t>Tariff_Key</t>
        </is>
      </c>
      <c r="S1" s="10" t="inlineStr">
        <is>
          <t>Effective_Tariff_Rate</t>
        </is>
      </c>
      <c r="T1" s="10" t="inlineStr">
        <is>
          <t>Base_Spend_USD</t>
        </is>
      </c>
      <c r="U1" s="10" t="inlineStr">
        <is>
          <t>Landed_Cost_Per_Unit</t>
        </is>
      </c>
      <c r="V1" s="10" t="inlineStr">
        <is>
          <t>Landed_Cost_Total</t>
        </is>
      </c>
      <c r="W1" s="10" t="inlineStr">
        <is>
          <t>Is_First_Occurrence</t>
        </is>
      </c>
    </row>
    <row r="2">
      <c r="A2" s="6" t="inlineStr">
        <is>
          <t>PO-1319</t>
        </is>
      </c>
      <c r="B2" s="6" t="inlineStr">
        <is>
          <t>SUP-001</t>
        </is>
      </c>
      <c r="C2" s="6" t="inlineStr">
        <is>
          <t>PDU / MEP Equipment</t>
        </is>
      </c>
      <c r="D2" s="6" t="n">
        <v>8537.1</v>
      </c>
      <c r="E2" s="26" t="n">
        <v>45663</v>
      </c>
      <c r="F2" s="6" t="n">
        <v>8</v>
      </c>
      <c r="G2" s="27" t="n">
        <v>2982.5</v>
      </c>
      <c r="H2" s="6" t="inlineStr">
        <is>
          <t>DDP</t>
        </is>
      </c>
      <c r="I2" s="6" t="inlineStr">
        <is>
          <t>Truck</t>
        </is>
      </c>
      <c r="J2" s="26" t="n">
        <v>45679</v>
      </c>
      <c r="K2" s="26" t="n">
        <v>45679</v>
      </c>
      <c r="L2" s="6" t="n">
        <v>1</v>
      </c>
      <c r="M2" s="6" t="inlineStr">
        <is>
          <t>N</t>
        </is>
      </c>
      <c r="N2" s="6" t="inlineStr">
        <is>
          <t>Delivered</t>
        </is>
      </c>
      <c r="O2" s="6">
        <f>IF(K2="",0,K2-E2)</f>
        <v/>
      </c>
      <c r="P2" s="6">
        <f>IF(N2&lt;&gt;"Delivered","",IF(K2&lt;=J2,1,0))</f>
        <v/>
      </c>
      <c r="Q2" s="6">
        <f>IFERROR(INDEX(Raw_Suppliers!$C$2:$C$4,MATCH(B2,Raw_Suppliers!$A$2:$A$4,0)),"")</f>
        <v/>
      </c>
      <c r="R2" s="6">
        <f>Q2&amp;"|"&amp;D2</f>
        <v/>
      </c>
      <c r="S2" s="28">
        <f>IFERROR(INDEX(Raw_Tariff_Ref!$H$2:$H$10,MATCH(R2,Raw_Tariff_Ref!$I$2:$I$10,0)),0)</f>
        <v/>
      </c>
      <c r="T2" s="27">
        <f>IF(G2="","",G2*F2)</f>
        <v/>
      </c>
      <c r="U2" s="27">
        <f>IF(G2="","",G2*(1+S2))</f>
        <v/>
      </c>
      <c r="V2" s="27">
        <f>IF(U2="","",U2*F2)</f>
        <v/>
      </c>
      <c r="W2" s="6">
        <f>IF(COUNTIF($A$2:A2,A2)=1,1,0)</f>
        <v/>
      </c>
    </row>
    <row r="3">
      <c r="A3" s="6" t="inlineStr">
        <is>
          <t>PO-1013</t>
        </is>
      </c>
      <c r="B3" s="6" t="inlineStr">
        <is>
          <t>SUP-001</t>
        </is>
      </c>
      <c r="C3" s="6" t="inlineStr">
        <is>
          <t>GPU Servers</t>
        </is>
      </c>
      <c r="D3" s="6" t="n">
        <v>8471.5</v>
      </c>
      <c r="E3" s="26" t="n">
        <v>45663</v>
      </c>
      <c r="F3" s="6" t="n">
        <v>2</v>
      </c>
      <c r="G3" s="27" t="n">
        <v>21585.41</v>
      </c>
      <c r="H3" s="6" t="inlineStr">
        <is>
          <t>DDP</t>
        </is>
      </c>
      <c r="I3" s="6" t="inlineStr">
        <is>
          <t>Air</t>
        </is>
      </c>
      <c r="J3" s="26" t="n">
        <v>45674</v>
      </c>
      <c r="K3" s="26" t="n">
        <v>45673</v>
      </c>
      <c r="L3" s="6" t="n">
        <v>0</v>
      </c>
      <c r="M3" s="6" t="inlineStr">
        <is>
          <t>N</t>
        </is>
      </c>
      <c r="N3" s="6" t="inlineStr">
        <is>
          <t>Delivered</t>
        </is>
      </c>
      <c r="O3" s="6">
        <f>IF(K3="",0,K3-E3)</f>
        <v/>
      </c>
      <c r="P3" s="6">
        <f>IF(N3&lt;&gt;"Delivered","",IF(K3&lt;=J3,1,0))</f>
        <v/>
      </c>
      <c r="Q3" s="6">
        <f>IFERROR(INDEX(Raw_Suppliers!$C$2:$C$4,MATCH(B3,Raw_Suppliers!$A$2:$A$4,0)),"")</f>
        <v/>
      </c>
      <c r="R3" s="6">
        <f>Q3&amp;"|"&amp;D3</f>
        <v/>
      </c>
      <c r="S3" s="28">
        <f>IFERROR(INDEX(Raw_Tariff_Ref!$H$2:$H$10,MATCH(R3,Raw_Tariff_Ref!$I$2:$I$10,0)),0)</f>
        <v/>
      </c>
      <c r="T3" s="27">
        <f>IF(G3="","",G3*F3)</f>
        <v/>
      </c>
      <c r="U3" s="27">
        <f>IF(G3="","",G3*(1+S3))</f>
        <v/>
      </c>
      <c r="V3" s="27">
        <f>IF(U3="","",U3*F3)</f>
        <v/>
      </c>
      <c r="W3" s="6">
        <f>IF(COUNTIF($A$2:A3,A3)=1,1,0)</f>
        <v/>
      </c>
    </row>
    <row r="4">
      <c r="A4" s="6" t="inlineStr">
        <is>
          <t>PO-1012</t>
        </is>
      </c>
      <c r="B4" s="6" t="inlineStr">
        <is>
          <t>SUP-002</t>
        </is>
      </c>
      <c r="C4" s="6" t="inlineStr">
        <is>
          <t>GPU Servers</t>
        </is>
      </c>
      <c r="D4" s="6" t="n">
        <v>8471.5</v>
      </c>
      <c r="E4" s="26" t="n">
        <v>45666</v>
      </c>
      <c r="F4" s="6" t="n">
        <v>25</v>
      </c>
      <c r="G4" s="27" t="n">
        <v>17318.17</v>
      </c>
      <c r="H4" s="6" t="inlineStr">
        <is>
          <t>FOB</t>
        </is>
      </c>
      <c r="I4" s="6" t="inlineStr">
        <is>
          <t>Ocean</t>
        </is>
      </c>
      <c r="J4" s="26" t="n">
        <v>45689</v>
      </c>
      <c r="K4" s="26" t="n">
        <v>45698</v>
      </c>
      <c r="L4" s="6" t="n">
        <v>2</v>
      </c>
      <c r="M4" s="6" t="inlineStr">
        <is>
          <t>N</t>
        </is>
      </c>
      <c r="N4" s="6" t="inlineStr">
        <is>
          <t>Delivered</t>
        </is>
      </c>
      <c r="O4" s="6">
        <f>IF(K4="",0,K4-E4)</f>
        <v/>
      </c>
      <c r="P4" s="6">
        <f>IF(N4&lt;&gt;"Delivered","",IF(K4&lt;=J4,1,0))</f>
        <v/>
      </c>
      <c r="Q4" s="6">
        <f>IFERROR(INDEX(Raw_Suppliers!$C$2:$C$4,MATCH(B4,Raw_Suppliers!$A$2:$A$4,0)),"")</f>
        <v/>
      </c>
      <c r="R4" s="6">
        <f>Q4&amp;"|"&amp;D4</f>
        <v/>
      </c>
      <c r="S4" s="28">
        <f>IFERROR(INDEX(Raw_Tariff_Ref!$H$2:$H$10,MATCH(R4,Raw_Tariff_Ref!$I$2:$I$10,0)),0)</f>
        <v/>
      </c>
      <c r="T4" s="27">
        <f>IF(G4="","",G4*F4)</f>
        <v/>
      </c>
      <c r="U4" s="27">
        <f>IF(G4="","",G4*(1+S4))</f>
        <v/>
      </c>
      <c r="V4" s="27">
        <f>IF(U4="","",U4*F4)</f>
        <v/>
      </c>
      <c r="W4" s="6">
        <f>IF(COUNTIF($A$2:A4,A4)=1,1,0)</f>
        <v/>
      </c>
    </row>
    <row r="5">
      <c r="A5" s="6" t="inlineStr">
        <is>
          <t>PO-1002</t>
        </is>
      </c>
      <c r="B5" s="6" t="inlineStr">
        <is>
          <t>SUP-002</t>
        </is>
      </c>
      <c r="C5" s="6" t="inlineStr">
        <is>
          <t>GPU Servers</t>
        </is>
      </c>
      <c r="D5" s="6" t="n">
        <v>8471.5</v>
      </c>
      <c r="E5" s="26" t="n">
        <v>45669</v>
      </c>
      <c r="F5" s="6" t="n">
        <v>16</v>
      </c>
      <c r="G5" s="27" t="n">
        <v>16525.27</v>
      </c>
      <c r="H5" s="6" t="inlineStr">
        <is>
          <t>FOB</t>
        </is>
      </c>
      <c r="I5" s="6" t="inlineStr">
        <is>
          <t>Truck</t>
        </is>
      </c>
      <c r="J5" s="26" t="n">
        <v>45686</v>
      </c>
      <c r="K5" s="26" t="n">
        <v>45684</v>
      </c>
      <c r="L5" s="6" t="n">
        <v>3</v>
      </c>
      <c r="M5" s="6" t="inlineStr">
        <is>
          <t>N</t>
        </is>
      </c>
      <c r="N5" s="6" t="inlineStr">
        <is>
          <t>Delivered</t>
        </is>
      </c>
      <c r="O5" s="6">
        <f>IF(K5="",0,K5-E5)</f>
        <v/>
      </c>
      <c r="P5" s="6">
        <f>IF(N5&lt;&gt;"Delivered","",IF(K5&lt;=J5,1,0))</f>
        <v/>
      </c>
      <c r="Q5" s="6">
        <f>IFERROR(INDEX(Raw_Suppliers!$C$2:$C$4,MATCH(B5,Raw_Suppliers!$A$2:$A$4,0)),"")</f>
        <v/>
      </c>
      <c r="R5" s="6">
        <f>Q5&amp;"|"&amp;D5</f>
        <v/>
      </c>
      <c r="S5" s="28">
        <f>IFERROR(INDEX(Raw_Tariff_Ref!$H$2:$H$10,MATCH(R5,Raw_Tariff_Ref!$I$2:$I$10,0)),0)</f>
        <v/>
      </c>
      <c r="T5" s="27">
        <f>IF(G5="","",G5*F5)</f>
        <v/>
      </c>
      <c r="U5" s="27">
        <f>IF(G5="","",G5*(1+S5))</f>
        <v/>
      </c>
      <c r="V5" s="27">
        <f>IF(U5="","",U5*F5)</f>
        <v/>
      </c>
      <c r="W5" s="6">
        <f>IF(COUNTIF($A$2:A5,A5)=1,1,0)</f>
        <v/>
      </c>
    </row>
    <row r="6">
      <c r="A6" s="6" t="inlineStr">
        <is>
          <t>PO-1125</t>
        </is>
      </c>
      <c r="B6" s="6" t="inlineStr">
        <is>
          <t>SUP-002</t>
        </is>
      </c>
      <c r="C6" s="6" t="inlineStr">
        <is>
          <t>Network Switches</t>
        </is>
      </c>
      <c r="D6" s="6" t="n">
        <v>8517.620000000001</v>
      </c>
      <c r="E6" s="26" t="n">
        <v>45670</v>
      </c>
      <c r="F6" s="6" t="n">
        <v>5</v>
      </c>
      <c r="G6" s="27" t="n">
        <v>3716.54</v>
      </c>
      <c r="H6" s="6" t="inlineStr">
        <is>
          <t>CIF</t>
        </is>
      </c>
      <c r="I6" s="6" t="inlineStr">
        <is>
          <t>Ocean</t>
        </is>
      </c>
      <c r="J6" s="26" t="n">
        <v>45692</v>
      </c>
      <c r="K6" s="26" t="n">
        <v>45690</v>
      </c>
      <c r="L6" s="6" t="n">
        <v>1</v>
      </c>
      <c r="M6" s="6" t="inlineStr">
        <is>
          <t>N</t>
        </is>
      </c>
      <c r="N6" s="6" t="inlineStr">
        <is>
          <t>Delivered</t>
        </is>
      </c>
      <c r="O6" s="6">
        <f>IF(K6="",0,K6-E6)</f>
        <v/>
      </c>
      <c r="P6" s="6">
        <f>IF(N6&lt;&gt;"Delivered","",IF(K6&lt;=J6,1,0))</f>
        <v/>
      </c>
      <c r="Q6" s="6">
        <f>IFERROR(INDEX(Raw_Suppliers!$C$2:$C$4,MATCH(B6,Raw_Suppliers!$A$2:$A$4,0)),"")</f>
        <v/>
      </c>
      <c r="R6" s="6">
        <f>Q6&amp;"|"&amp;D6</f>
        <v/>
      </c>
      <c r="S6" s="28">
        <f>IFERROR(INDEX(Raw_Tariff_Ref!$H$2:$H$10,MATCH(R6,Raw_Tariff_Ref!$I$2:$I$10,0)),0)</f>
        <v/>
      </c>
      <c r="T6" s="27">
        <f>IF(G6="","",G6*F6)</f>
        <v/>
      </c>
      <c r="U6" s="27">
        <f>IF(G6="","",G6*(1+S6))</f>
        <v/>
      </c>
      <c r="V6" s="27">
        <f>IF(U6="","",U6*F6)</f>
        <v/>
      </c>
      <c r="W6" s="6">
        <f>IF(COUNTIF($A$2:A6,A6)=1,1,0)</f>
        <v/>
      </c>
    </row>
    <row r="7">
      <c r="A7" s="6" t="inlineStr">
        <is>
          <t>PO-1229</t>
        </is>
      </c>
      <c r="B7" s="6" t="inlineStr">
        <is>
          <t>SUP-001</t>
        </is>
      </c>
      <c r="C7" s="6" t="inlineStr">
        <is>
          <t>GPU Servers</t>
        </is>
      </c>
      <c r="D7" s="6" t="n">
        <v>8471.5</v>
      </c>
      <c r="E7" s="26" t="n">
        <v>45672</v>
      </c>
      <c r="F7" s="6" t="n">
        <v>12</v>
      </c>
      <c r="G7" s="27" t="n">
        <v>23435.22</v>
      </c>
      <c r="H7" s="6" t="inlineStr">
        <is>
          <t>DDP</t>
        </is>
      </c>
      <c r="I7" s="6" t="inlineStr">
        <is>
          <t>Air</t>
        </is>
      </c>
      <c r="J7" s="26" t="n">
        <v>45685</v>
      </c>
      <c r="K7" s="26" t="n">
        <v>45684</v>
      </c>
      <c r="L7" s="6" t="n">
        <v>0</v>
      </c>
      <c r="M7" s="6" t="inlineStr">
        <is>
          <t>N</t>
        </is>
      </c>
      <c r="N7" s="6" t="inlineStr">
        <is>
          <t>Delivered</t>
        </is>
      </c>
      <c r="O7" s="6">
        <f>IF(K7="",0,K7-E7)</f>
        <v/>
      </c>
      <c r="P7" s="6">
        <f>IF(N7&lt;&gt;"Delivered","",IF(K7&lt;=J7,1,0))</f>
        <v/>
      </c>
      <c r="Q7" s="6">
        <f>IFERROR(INDEX(Raw_Suppliers!$C$2:$C$4,MATCH(B7,Raw_Suppliers!$A$2:$A$4,0)),"")</f>
        <v/>
      </c>
      <c r="R7" s="6">
        <f>Q7&amp;"|"&amp;D7</f>
        <v/>
      </c>
      <c r="S7" s="28">
        <f>IFERROR(INDEX(Raw_Tariff_Ref!$H$2:$H$10,MATCH(R7,Raw_Tariff_Ref!$I$2:$I$10,0)),0)</f>
        <v/>
      </c>
      <c r="T7" s="27">
        <f>IF(G7="","",G7*F7)</f>
        <v/>
      </c>
      <c r="U7" s="27">
        <f>IF(G7="","",G7*(1+S7))</f>
        <v/>
      </c>
      <c r="V7" s="27">
        <f>IF(U7="","",U7*F7)</f>
        <v/>
      </c>
      <c r="W7" s="6">
        <f>IF(COUNTIF($A$2:A7,A7)=1,1,0)</f>
        <v/>
      </c>
    </row>
    <row r="8">
      <c r="A8" s="6" t="inlineStr">
        <is>
          <t>PO-1230</t>
        </is>
      </c>
      <c r="B8" s="6" t="inlineStr">
        <is>
          <t>SUP-001</t>
        </is>
      </c>
      <c r="C8" s="6" t="inlineStr">
        <is>
          <t>PDU / MEP Equipment</t>
        </is>
      </c>
      <c r="D8" s="6" t="n">
        <v>8537.1</v>
      </c>
      <c r="E8" s="26" t="n">
        <v>45675</v>
      </c>
      <c r="F8" s="6" t="n">
        <v>10</v>
      </c>
      <c r="G8" s="27" t="n">
        <v>3972.18</v>
      </c>
      <c r="H8" s="6" t="inlineStr">
        <is>
          <t>DDP</t>
        </is>
      </c>
      <c r="I8" s="6" t="inlineStr">
        <is>
          <t>Truck</t>
        </is>
      </c>
      <c r="J8" s="26" t="n">
        <v>45683</v>
      </c>
      <c r="K8" s="26" t="n">
        <v>45683</v>
      </c>
      <c r="L8" s="6" t="n">
        <v>1</v>
      </c>
      <c r="M8" s="6" t="inlineStr">
        <is>
          <t>N</t>
        </is>
      </c>
      <c r="N8" s="6" t="inlineStr">
        <is>
          <t>Delivered</t>
        </is>
      </c>
      <c r="O8" s="6">
        <f>IF(K8="",0,K8-E8)</f>
        <v/>
      </c>
      <c r="P8" s="6">
        <f>IF(N8&lt;&gt;"Delivered","",IF(K8&lt;=J8,1,0))</f>
        <v/>
      </c>
      <c r="Q8" s="6">
        <f>IFERROR(INDEX(Raw_Suppliers!$C$2:$C$4,MATCH(B8,Raw_Suppliers!$A$2:$A$4,0)),"")</f>
        <v/>
      </c>
      <c r="R8" s="6">
        <f>Q8&amp;"|"&amp;D8</f>
        <v/>
      </c>
      <c r="S8" s="28">
        <f>IFERROR(INDEX(Raw_Tariff_Ref!$H$2:$H$10,MATCH(R8,Raw_Tariff_Ref!$I$2:$I$10,0)),0)</f>
        <v/>
      </c>
      <c r="T8" s="27">
        <f>IF(G8="","",G8*F8)</f>
        <v/>
      </c>
      <c r="U8" s="27">
        <f>IF(G8="","",G8*(1+S8))</f>
        <v/>
      </c>
      <c r="V8" s="27">
        <f>IF(U8="","",U8*F8)</f>
        <v/>
      </c>
      <c r="W8" s="6">
        <f>IF(COUNTIF($A$2:A8,A8)=1,1,0)</f>
        <v/>
      </c>
    </row>
    <row r="9">
      <c r="A9" s="6" t="inlineStr">
        <is>
          <t>PO-1088</t>
        </is>
      </c>
      <c r="B9" s="6" t="inlineStr">
        <is>
          <t>SUP-001</t>
        </is>
      </c>
      <c r="C9" s="6" t="inlineStr">
        <is>
          <t>PDU / MEP Equipment</t>
        </is>
      </c>
      <c r="D9" s="6" t="n">
        <v>8537.1</v>
      </c>
      <c r="E9" s="26" t="n">
        <v>45678</v>
      </c>
      <c r="F9" s="6" t="n">
        <v>5</v>
      </c>
      <c r="G9" s="27" t="n">
        <v>2844.16</v>
      </c>
      <c r="H9" s="6" t="inlineStr">
        <is>
          <t>DDP</t>
        </is>
      </c>
      <c r="I9" s="6" t="inlineStr">
        <is>
          <t>Air</t>
        </is>
      </c>
      <c r="J9" s="26" t="n">
        <v>45690</v>
      </c>
      <c r="K9" s="26" t="n">
        <v>45689</v>
      </c>
      <c r="L9" s="6" t="n">
        <v>1</v>
      </c>
      <c r="M9" s="6" t="inlineStr">
        <is>
          <t>N</t>
        </is>
      </c>
      <c r="N9" s="6" t="inlineStr">
        <is>
          <t>Delivered</t>
        </is>
      </c>
      <c r="O9" s="6">
        <f>IF(K9="",0,K9-E9)</f>
        <v/>
      </c>
      <c r="P9" s="6">
        <f>IF(N9&lt;&gt;"Delivered","",IF(K9&lt;=J9,1,0))</f>
        <v/>
      </c>
      <c r="Q9" s="6">
        <f>IFERROR(INDEX(Raw_Suppliers!$C$2:$C$4,MATCH(B9,Raw_Suppliers!$A$2:$A$4,0)),"")</f>
        <v/>
      </c>
      <c r="R9" s="6">
        <f>Q9&amp;"|"&amp;D9</f>
        <v/>
      </c>
      <c r="S9" s="28">
        <f>IFERROR(INDEX(Raw_Tariff_Ref!$H$2:$H$10,MATCH(R9,Raw_Tariff_Ref!$I$2:$I$10,0)),0)</f>
        <v/>
      </c>
      <c r="T9" s="27">
        <f>IF(G9="","",G9*F9)</f>
        <v/>
      </c>
      <c r="U9" s="27">
        <f>IF(G9="","",G9*(1+S9))</f>
        <v/>
      </c>
      <c r="V9" s="27">
        <f>IF(U9="","",U9*F9)</f>
        <v/>
      </c>
      <c r="W9" s="6">
        <f>IF(COUNTIF($A$2:A9,A9)=1,1,0)</f>
        <v/>
      </c>
    </row>
    <row r="10">
      <c r="A10" s="6" t="inlineStr">
        <is>
          <t>PO-1154</t>
        </is>
      </c>
      <c r="B10" s="6" t="inlineStr">
        <is>
          <t>SUP-003</t>
        </is>
      </c>
      <c r="C10" s="6" t="inlineStr">
        <is>
          <t>Network Switches</t>
        </is>
      </c>
      <c r="D10" s="6" t="n">
        <v>8517.620000000001</v>
      </c>
      <c r="E10" s="26" t="n">
        <v>45679</v>
      </c>
      <c r="F10" s="6" t="n">
        <v>12</v>
      </c>
      <c r="G10" s="27" t="n">
        <v>1921.59</v>
      </c>
      <c r="H10" s="6" t="inlineStr">
        <is>
          <t>CIF</t>
        </is>
      </c>
      <c r="I10" s="6" t="inlineStr">
        <is>
          <t>Ocean</t>
        </is>
      </c>
      <c r="J10" s="26" t="n">
        <v>45724</v>
      </c>
      <c r="K10" s="26" t="n">
        <v>45722</v>
      </c>
      <c r="L10" s="6" t="n">
        <v>12</v>
      </c>
      <c r="M10" s="6" t="inlineStr">
        <is>
          <t>N</t>
        </is>
      </c>
      <c r="N10" s="6" t="inlineStr">
        <is>
          <t>Delivered</t>
        </is>
      </c>
      <c r="O10" s="6">
        <f>IF(K10="",0,K10-E10)</f>
        <v/>
      </c>
      <c r="P10" s="6">
        <f>IF(N10&lt;&gt;"Delivered","",IF(K10&lt;=J10,1,0))</f>
        <v/>
      </c>
      <c r="Q10" s="6">
        <f>IFERROR(INDEX(Raw_Suppliers!$C$2:$C$4,MATCH(B10,Raw_Suppliers!$A$2:$A$4,0)),"")</f>
        <v/>
      </c>
      <c r="R10" s="6">
        <f>Q10&amp;"|"&amp;D10</f>
        <v/>
      </c>
      <c r="S10" s="28">
        <f>IFERROR(INDEX(Raw_Tariff_Ref!$H$2:$H$10,MATCH(R10,Raw_Tariff_Ref!$I$2:$I$10,0)),0)</f>
        <v/>
      </c>
      <c r="T10" s="27">
        <f>IF(G10="","",G10*F10)</f>
        <v/>
      </c>
      <c r="U10" s="27">
        <f>IF(G10="","",G10*(1+S10))</f>
        <v/>
      </c>
      <c r="V10" s="27">
        <f>IF(U10="","",U10*F10)</f>
        <v/>
      </c>
      <c r="W10" s="6">
        <f>IF(COUNTIF($A$2:A10,A10)=1,1,0)</f>
        <v/>
      </c>
    </row>
    <row r="11">
      <c r="A11" s="6" t="inlineStr">
        <is>
          <t>PO-1287</t>
        </is>
      </c>
      <c r="B11" s="6" t="inlineStr">
        <is>
          <t>SUP-003</t>
        </is>
      </c>
      <c r="C11" s="6" t="inlineStr">
        <is>
          <t>PDU / MEP Equipment</t>
        </is>
      </c>
      <c r="D11" s="6" t="n">
        <v>8537.1</v>
      </c>
      <c r="E11" s="26" t="n">
        <v>45680</v>
      </c>
      <c r="F11" s="6" t="n">
        <v>10</v>
      </c>
      <c r="G11" s="27" t="n">
        <v>2468.63</v>
      </c>
      <c r="H11" s="6" t="inlineStr">
        <is>
          <t>EXW</t>
        </is>
      </c>
      <c r="I11" s="6" t="inlineStr">
        <is>
          <t>Air</t>
        </is>
      </c>
      <c r="J11" s="26" t="n">
        <v>45704</v>
      </c>
      <c r="K11" s="26" t="n">
        <v>45702</v>
      </c>
      <c r="L11" s="6" t="n">
        <v>11</v>
      </c>
      <c r="M11" s="6" t="inlineStr">
        <is>
          <t>N</t>
        </is>
      </c>
      <c r="N11" s="6" t="inlineStr">
        <is>
          <t>Delivered</t>
        </is>
      </c>
      <c r="O11" s="6">
        <f>IF(K11="",0,K11-E11)</f>
        <v/>
      </c>
      <c r="P11" s="6">
        <f>IF(N11&lt;&gt;"Delivered","",IF(K11&lt;=J11,1,0))</f>
        <v/>
      </c>
      <c r="Q11" s="6">
        <f>IFERROR(INDEX(Raw_Suppliers!$C$2:$C$4,MATCH(B11,Raw_Suppliers!$A$2:$A$4,0)),"")</f>
        <v/>
      </c>
      <c r="R11" s="6">
        <f>Q11&amp;"|"&amp;D11</f>
        <v/>
      </c>
      <c r="S11" s="28">
        <f>IFERROR(INDEX(Raw_Tariff_Ref!$H$2:$H$10,MATCH(R11,Raw_Tariff_Ref!$I$2:$I$10,0)),0)</f>
        <v/>
      </c>
      <c r="T11" s="27">
        <f>IF(G11="","",G11*F11)</f>
        <v/>
      </c>
      <c r="U11" s="27">
        <f>IF(G11="","",G11*(1+S11))</f>
        <v/>
      </c>
      <c r="V11" s="27">
        <f>IF(U11="","",U11*F11)</f>
        <v/>
      </c>
      <c r="W11" s="6">
        <f>IF(COUNTIF($A$2:A11,A11)=1,1,0)</f>
        <v/>
      </c>
    </row>
    <row r="12">
      <c r="A12" s="6" t="inlineStr">
        <is>
          <t>PO-1314</t>
        </is>
      </c>
      <c r="B12" s="6" t="inlineStr">
        <is>
          <t>SUP-002</t>
        </is>
      </c>
      <c r="C12" s="6" t="inlineStr">
        <is>
          <t>Network Switches</t>
        </is>
      </c>
      <c r="D12" s="6" t="n">
        <v>8517.620000000001</v>
      </c>
      <c r="E12" s="26" t="n">
        <v>45682</v>
      </c>
      <c r="F12" s="6" t="n">
        <v>20</v>
      </c>
      <c r="G12" s="27" t="n">
        <v>3806.87</v>
      </c>
      <c r="H12" s="6" t="inlineStr">
        <is>
          <t>CIF</t>
        </is>
      </c>
      <c r="I12" s="6" t="inlineStr">
        <is>
          <t>Ocean</t>
        </is>
      </c>
      <c r="J12" s="26" t="n">
        <v>45697</v>
      </c>
      <c r="K12" s="26" t="n">
        <v>45709</v>
      </c>
      <c r="L12" s="6" t="n">
        <v>3</v>
      </c>
      <c r="M12" s="6" t="inlineStr">
        <is>
          <t>N</t>
        </is>
      </c>
      <c r="N12" s="6" t="inlineStr">
        <is>
          <t>Delivered</t>
        </is>
      </c>
      <c r="O12" s="6">
        <f>IF(K12="",0,K12-E12)</f>
        <v/>
      </c>
      <c r="P12" s="6">
        <f>IF(N12&lt;&gt;"Delivered","",IF(K12&lt;=J12,1,0))</f>
        <v/>
      </c>
      <c r="Q12" s="6">
        <f>IFERROR(INDEX(Raw_Suppliers!$C$2:$C$4,MATCH(B12,Raw_Suppliers!$A$2:$A$4,0)),"")</f>
        <v/>
      </c>
      <c r="R12" s="6">
        <f>Q12&amp;"|"&amp;D12</f>
        <v/>
      </c>
      <c r="S12" s="28">
        <f>IFERROR(INDEX(Raw_Tariff_Ref!$H$2:$H$10,MATCH(R12,Raw_Tariff_Ref!$I$2:$I$10,0)),0)</f>
        <v/>
      </c>
      <c r="T12" s="27">
        <f>IF(G12="","",G12*F12)</f>
        <v/>
      </c>
      <c r="U12" s="27">
        <f>IF(G12="","",G12*(1+S12))</f>
        <v/>
      </c>
      <c r="V12" s="27">
        <f>IF(U12="","",U12*F12)</f>
        <v/>
      </c>
      <c r="W12" s="6">
        <f>IF(COUNTIF($A$2:A12,A12)=1,1,0)</f>
        <v/>
      </c>
    </row>
    <row r="13">
      <c r="A13" s="6" t="inlineStr">
        <is>
          <t>PO-1128</t>
        </is>
      </c>
      <c r="B13" s="6" t="inlineStr">
        <is>
          <t>SUP-001</t>
        </is>
      </c>
      <c r="C13" s="6" t="inlineStr">
        <is>
          <t>PDU / MEP Equipment</t>
        </is>
      </c>
      <c r="D13" s="6" t="n">
        <v>8537.1</v>
      </c>
      <c r="E13" s="26" t="n">
        <v>45684</v>
      </c>
      <c r="F13" s="6" t="n">
        <v>40</v>
      </c>
      <c r="G13" s="27" t="n">
        <v>3716.76</v>
      </c>
      <c r="H13" s="6" t="inlineStr">
        <is>
          <t>DDP</t>
        </is>
      </c>
      <c r="I13" s="6" t="inlineStr">
        <is>
          <t>Truck</t>
        </is>
      </c>
      <c r="J13" s="26" t="n">
        <v>45697</v>
      </c>
      <c r="K13" s="26" t="n">
        <v>45703</v>
      </c>
      <c r="L13" s="6" t="n">
        <v>1</v>
      </c>
      <c r="M13" s="6" t="inlineStr">
        <is>
          <t>N</t>
        </is>
      </c>
      <c r="N13" s="6" t="inlineStr">
        <is>
          <t>Delivered</t>
        </is>
      </c>
      <c r="O13" s="6">
        <f>IF(K13="",0,K13-E13)</f>
        <v/>
      </c>
      <c r="P13" s="6">
        <f>IF(N13&lt;&gt;"Delivered","",IF(K13&lt;=J13,1,0))</f>
        <v/>
      </c>
      <c r="Q13" s="6">
        <f>IFERROR(INDEX(Raw_Suppliers!$C$2:$C$4,MATCH(B13,Raw_Suppliers!$A$2:$A$4,0)),"")</f>
        <v/>
      </c>
      <c r="R13" s="6">
        <f>Q13&amp;"|"&amp;D13</f>
        <v/>
      </c>
      <c r="S13" s="28">
        <f>IFERROR(INDEX(Raw_Tariff_Ref!$H$2:$H$10,MATCH(R13,Raw_Tariff_Ref!$I$2:$I$10,0)),0)</f>
        <v/>
      </c>
      <c r="T13" s="27">
        <f>IF(G13="","",G13*F13)</f>
        <v/>
      </c>
      <c r="U13" s="27">
        <f>IF(G13="","",G13*(1+S13))</f>
        <v/>
      </c>
      <c r="V13" s="27">
        <f>IF(U13="","",U13*F13)</f>
        <v/>
      </c>
      <c r="W13" s="6">
        <f>IF(COUNTIF($A$2:A13,A13)=1,1,0)</f>
        <v/>
      </c>
    </row>
    <row r="14">
      <c r="A14" s="6" t="inlineStr">
        <is>
          <t>PO-1107</t>
        </is>
      </c>
      <c r="B14" s="6" t="inlineStr">
        <is>
          <t>SUP-003</t>
        </is>
      </c>
      <c r="C14" s="6" t="inlineStr">
        <is>
          <t>GPU Servers</t>
        </is>
      </c>
      <c r="D14" s="6" t="n">
        <v>8471.5</v>
      </c>
      <c r="E14" s="26" t="n">
        <v>45684</v>
      </c>
      <c r="F14" s="6" t="n">
        <v>8</v>
      </c>
      <c r="G14" s="27" t="n">
        <v>15164.08</v>
      </c>
      <c r="H14" s="6" t="inlineStr">
        <is>
          <t>CIF</t>
        </is>
      </c>
      <c r="I14" s="6" t="inlineStr">
        <is>
          <t>Ocean</t>
        </is>
      </c>
      <c r="J14" s="26" t="n">
        <v>45731</v>
      </c>
      <c r="K14" s="26" t="n">
        <v>45730</v>
      </c>
      <c r="L14" s="6" t="n">
        <v>4</v>
      </c>
      <c r="M14" s="6" t="inlineStr">
        <is>
          <t>N</t>
        </is>
      </c>
      <c r="N14" s="6" t="inlineStr">
        <is>
          <t>Delivered</t>
        </is>
      </c>
      <c r="O14" s="6">
        <f>IF(K14="",0,K14-E14)</f>
        <v/>
      </c>
      <c r="P14" s="6">
        <f>IF(N14&lt;&gt;"Delivered","",IF(K14&lt;=J14,1,0))</f>
        <v/>
      </c>
      <c r="Q14" s="6">
        <f>IFERROR(INDEX(Raw_Suppliers!$C$2:$C$4,MATCH(B14,Raw_Suppliers!$A$2:$A$4,0)),"")</f>
        <v/>
      </c>
      <c r="R14" s="6">
        <f>Q14&amp;"|"&amp;D14</f>
        <v/>
      </c>
      <c r="S14" s="28">
        <f>IFERROR(INDEX(Raw_Tariff_Ref!$H$2:$H$10,MATCH(R14,Raw_Tariff_Ref!$I$2:$I$10,0)),0)</f>
        <v/>
      </c>
      <c r="T14" s="27">
        <f>IF(G14="","",G14*F14)</f>
        <v/>
      </c>
      <c r="U14" s="27">
        <f>IF(G14="","",G14*(1+S14))</f>
        <v/>
      </c>
      <c r="V14" s="27">
        <f>IF(U14="","",U14*F14)</f>
        <v/>
      </c>
      <c r="W14" s="6">
        <f>IF(COUNTIF($A$2:A14,A14)=1,1,0)</f>
        <v/>
      </c>
    </row>
    <row r="15">
      <c r="A15" s="6" t="inlineStr">
        <is>
          <t>PO-1095</t>
        </is>
      </c>
      <c r="B15" s="6" t="inlineStr">
        <is>
          <t>SUP-001</t>
        </is>
      </c>
      <c r="C15" s="6" t="inlineStr">
        <is>
          <t>PDU / MEP Equipment</t>
        </is>
      </c>
      <c r="D15" s="6" t="n">
        <v>8537.1</v>
      </c>
      <c r="E15" s="26" t="n">
        <v>45685</v>
      </c>
      <c r="F15" s="6" t="n">
        <v>10</v>
      </c>
      <c r="G15" s="27" t="n">
        <v>2505.54</v>
      </c>
      <c r="H15" s="6" t="inlineStr">
        <is>
          <t>FOB</t>
        </is>
      </c>
      <c r="I15" s="6" t="inlineStr">
        <is>
          <t>Air</t>
        </is>
      </c>
      <c r="J15" s="26" t="n">
        <v>45694</v>
      </c>
      <c r="K15" s="26" t="n">
        <v>45707</v>
      </c>
      <c r="L15" s="6" t="n">
        <v>1</v>
      </c>
      <c r="M15" s="6" t="inlineStr">
        <is>
          <t>Y</t>
        </is>
      </c>
      <c r="N15" s="6" t="inlineStr">
        <is>
          <t>Delivered</t>
        </is>
      </c>
      <c r="O15" s="6">
        <f>IF(K15="",0,K15-E15)</f>
        <v/>
      </c>
      <c r="P15" s="6">
        <f>IF(N15&lt;&gt;"Delivered","",IF(K15&lt;=J15,1,0))</f>
        <v/>
      </c>
      <c r="Q15" s="6">
        <f>IFERROR(INDEX(Raw_Suppliers!$C$2:$C$4,MATCH(B15,Raw_Suppliers!$A$2:$A$4,0)),"")</f>
        <v/>
      </c>
      <c r="R15" s="6">
        <f>Q15&amp;"|"&amp;D15</f>
        <v/>
      </c>
      <c r="S15" s="28">
        <f>IFERROR(INDEX(Raw_Tariff_Ref!$H$2:$H$10,MATCH(R15,Raw_Tariff_Ref!$I$2:$I$10,0)),0)</f>
        <v/>
      </c>
      <c r="T15" s="27">
        <f>IF(G15="","",G15*F15)</f>
        <v/>
      </c>
      <c r="U15" s="27">
        <f>IF(G15="","",G15*(1+S15))</f>
        <v/>
      </c>
      <c r="V15" s="27">
        <f>IF(U15="","",U15*F15)</f>
        <v/>
      </c>
      <c r="W15" s="6">
        <f>IF(COUNTIF($A$2:A15,A15)=1,1,0)</f>
        <v/>
      </c>
    </row>
    <row r="16">
      <c r="A16" s="6" t="inlineStr">
        <is>
          <t>PO-1180</t>
        </is>
      </c>
      <c r="B16" s="6" t="inlineStr">
        <is>
          <t>SUP-003</t>
        </is>
      </c>
      <c r="C16" s="6" t="inlineStr">
        <is>
          <t>Network Switches</t>
        </is>
      </c>
      <c r="D16" s="6" t="n">
        <v>8517.620000000001</v>
      </c>
      <c r="E16" s="26" t="n">
        <v>45686</v>
      </c>
      <c r="F16" s="6" t="n">
        <v>25</v>
      </c>
      <c r="G16" s="27" t="n">
        <v>2458.03</v>
      </c>
      <c r="H16" s="6" t="inlineStr">
        <is>
          <t>EXW</t>
        </is>
      </c>
      <c r="I16" s="6" t="inlineStr">
        <is>
          <t>Ocean</t>
        </is>
      </c>
      <c r="J16" s="26" t="n">
        <v>45719</v>
      </c>
      <c r="K16" s="26" t="n">
        <v>45718</v>
      </c>
      <c r="L16" s="6" t="n">
        <v>12</v>
      </c>
      <c r="M16" s="6" t="inlineStr">
        <is>
          <t>N</t>
        </is>
      </c>
      <c r="N16" s="6" t="inlineStr">
        <is>
          <t>Delivered</t>
        </is>
      </c>
      <c r="O16" s="6">
        <f>IF(K16="",0,K16-E16)</f>
        <v/>
      </c>
      <c r="P16" s="6">
        <f>IF(N16&lt;&gt;"Delivered","",IF(K16&lt;=J16,1,0))</f>
        <v/>
      </c>
      <c r="Q16" s="6">
        <f>IFERROR(INDEX(Raw_Suppliers!$C$2:$C$4,MATCH(B16,Raw_Suppliers!$A$2:$A$4,0)),"")</f>
        <v/>
      </c>
      <c r="R16" s="6">
        <f>Q16&amp;"|"&amp;D16</f>
        <v/>
      </c>
      <c r="S16" s="28">
        <f>IFERROR(INDEX(Raw_Tariff_Ref!$H$2:$H$10,MATCH(R16,Raw_Tariff_Ref!$I$2:$I$10,0)),0)</f>
        <v/>
      </c>
      <c r="T16" s="27">
        <f>IF(G16="","",G16*F16)</f>
        <v/>
      </c>
      <c r="U16" s="27">
        <f>IF(G16="","",G16*(1+S16))</f>
        <v/>
      </c>
      <c r="V16" s="27">
        <f>IF(U16="","",U16*F16)</f>
        <v/>
      </c>
      <c r="W16" s="6">
        <f>IF(COUNTIF($A$2:A16,A16)=1,1,0)</f>
        <v/>
      </c>
    </row>
    <row r="17">
      <c r="A17" s="6" t="inlineStr">
        <is>
          <t>PO-1315</t>
        </is>
      </c>
      <c r="B17" s="6" t="inlineStr">
        <is>
          <t>SUP-002</t>
        </is>
      </c>
      <c r="C17" s="6" t="inlineStr">
        <is>
          <t>Network Switches</t>
        </is>
      </c>
      <c r="D17" s="6" t="n">
        <v>8517.620000000001</v>
      </c>
      <c r="E17" s="26" t="n">
        <v>45689</v>
      </c>
      <c r="F17" s="6" t="n">
        <v>2</v>
      </c>
      <c r="G17" s="27" t="n">
        <v>3382.27</v>
      </c>
      <c r="H17" s="6" t="inlineStr">
        <is>
          <t>CIF</t>
        </is>
      </c>
      <c r="I17" s="6" t="inlineStr">
        <is>
          <t>Truck</t>
        </is>
      </c>
      <c r="J17" s="26" t="n">
        <v>45707</v>
      </c>
      <c r="K17" s="26" t="n">
        <v>45705</v>
      </c>
      <c r="L17" s="6" t="n">
        <v>4</v>
      </c>
      <c r="M17" s="6" t="inlineStr">
        <is>
          <t>N</t>
        </is>
      </c>
      <c r="N17" s="6" t="inlineStr">
        <is>
          <t>Delivered</t>
        </is>
      </c>
      <c r="O17" s="6">
        <f>IF(K17="",0,K17-E17)</f>
        <v/>
      </c>
      <c r="P17" s="6">
        <f>IF(N17&lt;&gt;"Delivered","",IF(K17&lt;=J17,1,0))</f>
        <v/>
      </c>
      <c r="Q17" s="6">
        <f>IFERROR(INDEX(Raw_Suppliers!$C$2:$C$4,MATCH(B17,Raw_Suppliers!$A$2:$A$4,0)),"")</f>
        <v/>
      </c>
      <c r="R17" s="6">
        <f>Q17&amp;"|"&amp;D17</f>
        <v/>
      </c>
      <c r="S17" s="28">
        <f>IFERROR(INDEX(Raw_Tariff_Ref!$H$2:$H$10,MATCH(R17,Raw_Tariff_Ref!$I$2:$I$10,0)),0)</f>
        <v/>
      </c>
      <c r="T17" s="27">
        <f>IF(G17="","",G17*F17)</f>
        <v/>
      </c>
      <c r="U17" s="27">
        <f>IF(G17="","",G17*(1+S17))</f>
        <v/>
      </c>
      <c r="V17" s="27">
        <f>IF(U17="","",U17*F17)</f>
        <v/>
      </c>
      <c r="W17" s="6">
        <f>IF(COUNTIF($A$2:A17,A17)=1,1,0)</f>
        <v/>
      </c>
    </row>
    <row r="18">
      <c r="A18" s="6" t="inlineStr">
        <is>
          <t>PO-1053</t>
        </is>
      </c>
      <c r="B18" s="6" t="inlineStr">
        <is>
          <t>SUP-003</t>
        </is>
      </c>
      <c r="C18" s="6" t="inlineStr">
        <is>
          <t>GPU Servers</t>
        </is>
      </c>
      <c r="D18" s="6" t="n">
        <v>8471.5</v>
      </c>
      <c r="E18" s="26" t="n">
        <v>45690</v>
      </c>
      <c r="F18" s="6" t="n">
        <v>5</v>
      </c>
      <c r="G18" s="27" t="n">
        <v>13695.54</v>
      </c>
      <c r="H18" s="6" t="inlineStr">
        <is>
          <t>EXW</t>
        </is>
      </c>
      <c r="I18" s="6" t="inlineStr">
        <is>
          <t>Ocean</t>
        </is>
      </c>
      <c r="J18" s="26" t="n">
        <v>45726</v>
      </c>
      <c r="K18" s="26" t="n">
        <v>45725</v>
      </c>
      <c r="L18" s="6" t="n">
        <v>7</v>
      </c>
      <c r="M18" s="6" t="inlineStr">
        <is>
          <t>N</t>
        </is>
      </c>
      <c r="N18" s="6" t="inlineStr">
        <is>
          <t>Delivered</t>
        </is>
      </c>
      <c r="O18" s="6">
        <f>IF(K18="",0,K18-E18)</f>
        <v/>
      </c>
      <c r="P18" s="6">
        <f>IF(N18&lt;&gt;"Delivered","",IF(K18&lt;=J18,1,0))</f>
        <v/>
      </c>
      <c r="Q18" s="6">
        <f>IFERROR(INDEX(Raw_Suppliers!$C$2:$C$4,MATCH(B18,Raw_Suppliers!$A$2:$A$4,0)),"")</f>
        <v/>
      </c>
      <c r="R18" s="6">
        <f>Q18&amp;"|"&amp;D18</f>
        <v/>
      </c>
      <c r="S18" s="28">
        <f>IFERROR(INDEX(Raw_Tariff_Ref!$H$2:$H$10,MATCH(R18,Raw_Tariff_Ref!$I$2:$I$10,0)),0)</f>
        <v/>
      </c>
      <c r="T18" s="27">
        <f>IF(G18="","",G18*F18)</f>
        <v/>
      </c>
      <c r="U18" s="27">
        <f>IF(G18="","",G18*(1+S18))</f>
        <v/>
      </c>
      <c r="V18" s="27">
        <f>IF(U18="","",U18*F18)</f>
        <v/>
      </c>
      <c r="W18" s="6">
        <f>IF(COUNTIF($A$2:A18,A18)=1,1,0)</f>
        <v/>
      </c>
    </row>
    <row r="19">
      <c r="A19" s="6" t="inlineStr">
        <is>
          <t>PO-1120</t>
        </is>
      </c>
      <c r="B19" s="6" t="inlineStr">
        <is>
          <t>SUP-002</t>
        </is>
      </c>
      <c r="C19" s="6" t="inlineStr">
        <is>
          <t>GPU Servers</t>
        </is>
      </c>
      <c r="D19" s="6" t="n">
        <v>8471.5</v>
      </c>
      <c r="E19" s="26" t="n">
        <v>45692</v>
      </c>
      <c r="F19" s="6" t="n">
        <v>10</v>
      </c>
      <c r="G19" s="27" t="n">
        <v>19644.04</v>
      </c>
      <c r="H19" s="6" t="inlineStr">
        <is>
          <t>CIF</t>
        </is>
      </c>
      <c r="I19" s="6" t="inlineStr">
        <is>
          <t>Truck</t>
        </is>
      </c>
      <c r="J19" s="26" t="n">
        <v>45706</v>
      </c>
      <c r="K19" s="26" t="n">
        <v>45706</v>
      </c>
      <c r="L19" s="6" t="n">
        <v>2</v>
      </c>
      <c r="M19" s="6" t="inlineStr">
        <is>
          <t>N</t>
        </is>
      </c>
      <c r="N19" s="6" t="inlineStr">
        <is>
          <t>Delivered</t>
        </is>
      </c>
      <c r="O19" s="6">
        <f>IF(K19="",0,K19-E19)</f>
        <v/>
      </c>
      <c r="P19" s="6">
        <f>IF(N19&lt;&gt;"Delivered","",IF(K19&lt;=J19,1,0))</f>
        <v/>
      </c>
      <c r="Q19" s="6">
        <f>IFERROR(INDEX(Raw_Suppliers!$C$2:$C$4,MATCH(B19,Raw_Suppliers!$A$2:$A$4,0)),"")</f>
        <v/>
      </c>
      <c r="R19" s="6">
        <f>Q19&amp;"|"&amp;D19</f>
        <v/>
      </c>
      <c r="S19" s="28">
        <f>IFERROR(INDEX(Raw_Tariff_Ref!$H$2:$H$10,MATCH(R19,Raw_Tariff_Ref!$I$2:$I$10,0)),0)</f>
        <v/>
      </c>
      <c r="T19" s="27">
        <f>IF(G19="","",G19*F19)</f>
        <v/>
      </c>
      <c r="U19" s="27">
        <f>IF(G19="","",G19*(1+S19))</f>
        <v/>
      </c>
      <c r="V19" s="27">
        <f>IF(U19="","",U19*F19)</f>
        <v/>
      </c>
      <c r="W19" s="6">
        <f>IF(COUNTIF($A$2:A19,A19)=1,1,0)</f>
        <v/>
      </c>
    </row>
    <row r="20">
      <c r="A20" s="6" t="inlineStr">
        <is>
          <t>PO-1308</t>
        </is>
      </c>
      <c r="B20" s="6" t="inlineStr">
        <is>
          <t>SUP-003</t>
        </is>
      </c>
      <c r="C20" s="6" t="inlineStr">
        <is>
          <t>PDU / MEP Equipment</t>
        </is>
      </c>
      <c r="D20" s="6" t="n">
        <v>8537.1</v>
      </c>
      <c r="E20" s="26" t="n">
        <v>45694</v>
      </c>
      <c r="F20" s="6" t="n">
        <v>25</v>
      </c>
      <c r="G20" s="27" t="n">
        <v>1788.42</v>
      </c>
      <c r="H20" s="6" t="inlineStr">
        <is>
          <t>EXW</t>
        </is>
      </c>
      <c r="I20" s="6" t="inlineStr">
        <is>
          <t>Ocean</t>
        </is>
      </c>
      <c r="J20" s="26" t="n">
        <v>45722</v>
      </c>
      <c r="K20" s="26" t="n">
        <v>45752</v>
      </c>
      <c r="L20" s="6" t="n">
        <v>10</v>
      </c>
      <c r="M20" s="6" t="inlineStr">
        <is>
          <t>N</t>
        </is>
      </c>
      <c r="N20" s="6" t="inlineStr">
        <is>
          <t>Delivered</t>
        </is>
      </c>
      <c r="O20" s="6">
        <f>IF(K20="",0,K20-E20)</f>
        <v/>
      </c>
      <c r="P20" s="6">
        <f>IF(N20&lt;&gt;"Delivered","",IF(K20&lt;=J20,1,0))</f>
        <v/>
      </c>
      <c r="Q20" s="6">
        <f>IFERROR(INDEX(Raw_Suppliers!$C$2:$C$4,MATCH(B20,Raw_Suppliers!$A$2:$A$4,0)),"")</f>
        <v/>
      </c>
      <c r="R20" s="6">
        <f>Q20&amp;"|"&amp;D20</f>
        <v/>
      </c>
      <c r="S20" s="28">
        <f>IFERROR(INDEX(Raw_Tariff_Ref!$H$2:$H$10,MATCH(R20,Raw_Tariff_Ref!$I$2:$I$10,0)),0)</f>
        <v/>
      </c>
      <c r="T20" s="27">
        <f>IF(G20="","",G20*F20)</f>
        <v/>
      </c>
      <c r="U20" s="27">
        <f>IF(G20="","",G20*(1+S20))</f>
        <v/>
      </c>
      <c r="V20" s="27">
        <f>IF(U20="","",U20*F20)</f>
        <v/>
      </c>
      <c r="W20" s="6">
        <f>IF(COUNTIF($A$2:A20,A20)=1,1,0)</f>
        <v/>
      </c>
    </row>
    <row r="21">
      <c r="A21" s="6" t="inlineStr">
        <is>
          <t>PO-1233</t>
        </is>
      </c>
      <c r="B21" s="6" t="inlineStr">
        <is>
          <t>SUP-003</t>
        </is>
      </c>
      <c r="C21" s="6" t="inlineStr">
        <is>
          <t>GPU Servers</t>
        </is>
      </c>
      <c r="D21" s="6" t="n">
        <v>8471.5</v>
      </c>
      <c r="E21" s="26" t="n">
        <v>45695</v>
      </c>
      <c r="F21" s="6" t="n">
        <v>16</v>
      </c>
      <c r="G21" s="27" t="n">
        <v>13522</v>
      </c>
      <c r="H21" s="6" t="inlineStr">
        <is>
          <t>EXW</t>
        </is>
      </c>
      <c r="I21" s="6" t="inlineStr">
        <is>
          <t>Ocean</t>
        </is>
      </c>
      <c r="J21" s="26" t="n">
        <v>45724</v>
      </c>
      <c r="K21" s="26" t="n">
        <v>45723</v>
      </c>
      <c r="L21" s="6" t="n">
        <v>5</v>
      </c>
      <c r="M21" s="6" t="inlineStr">
        <is>
          <t>N</t>
        </is>
      </c>
      <c r="N21" s="6" t="inlineStr">
        <is>
          <t>Delivered</t>
        </is>
      </c>
      <c r="O21" s="6">
        <f>IF(K21="",0,K21-E21)</f>
        <v/>
      </c>
      <c r="P21" s="6">
        <f>IF(N21&lt;&gt;"Delivered","",IF(K21&lt;=J21,1,0))</f>
        <v/>
      </c>
      <c r="Q21" s="6">
        <f>IFERROR(INDEX(Raw_Suppliers!$C$2:$C$4,MATCH(B21,Raw_Suppliers!$A$2:$A$4,0)),"")</f>
        <v/>
      </c>
      <c r="R21" s="6">
        <f>Q21&amp;"|"&amp;D21</f>
        <v/>
      </c>
      <c r="S21" s="28">
        <f>IFERROR(INDEX(Raw_Tariff_Ref!$H$2:$H$10,MATCH(R21,Raw_Tariff_Ref!$I$2:$I$10,0)),0)</f>
        <v/>
      </c>
      <c r="T21" s="27">
        <f>IF(G21="","",G21*F21)</f>
        <v/>
      </c>
      <c r="U21" s="27">
        <f>IF(G21="","",G21*(1+S21))</f>
        <v/>
      </c>
      <c r="V21" s="27">
        <f>IF(U21="","",U21*F21)</f>
        <v/>
      </c>
      <c r="W21" s="6">
        <f>IF(COUNTIF($A$2:A21,A21)=1,1,0)</f>
        <v/>
      </c>
    </row>
    <row r="22">
      <c r="A22" s="6" t="inlineStr">
        <is>
          <t>PO-1233</t>
        </is>
      </c>
      <c r="B22" s="6" t="inlineStr">
        <is>
          <t>SUP-003</t>
        </is>
      </c>
      <c r="C22" s="6" t="inlineStr">
        <is>
          <t>GPU Servers</t>
        </is>
      </c>
      <c r="D22" s="6" t="n">
        <v>8471.5</v>
      </c>
      <c r="E22" s="26" t="n">
        <v>45695</v>
      </c>
      <c r="F22" s="6" t="n">
        <v>16</v>
      </c>
      <c r="G22" s="27" t="n">
        <v>13522</v>
      </c>
      <c r="H22" s="6" t="inlineStr">
        <is>
          <t>EXW</t>
        </is>
      </c>
      <c r="I22" s="6" t="inlineStr">
        <is>
          <t>Ocean</t>
        </is>
      </c>
      <c r="J22" s="26" t="n">
        <v>45724</v>
      </c>
      <c r="K22" s="26" t="n">
        <v>45723</v>
      </c>
      <c r="L22" s="6" t="n">
        <v>5</v>
      </c>
      <c r="M22" s="6" t="inlineStr">
        <is>
          <t>N</t>
        </is>
      </c>
      <c r="N22" s="6" t="inlineStr">
        <is>
          <t>Delivered</t>
        </is>
      </c>
      <c r="O22" s="6">
        <f>IF(K22="",0,K22-E22)</f>
        <v/>
      </c>
      <c r="P22" s="6">
        <f>IF(N22&lt;&gt;"Delivered","",IF(K22&lt;=J22,1,0))</f>
        <v/>
      </c>
      <c r="Q22" s="6">
        <f>IFERROR(INDEX(Raw_Suppliers!$C$2:$C$4,MATCH(B22,Raw_Suppliers!$A$2:$A$4,0)),"")</f>
        <v/>
      </c>
      <c r="R22" s="6">
        <f>Q22&amp;"|"&amp;D22</f>
        <v/>
      </c>
      <c r="S22" s="28">
        <f>IFERROR(INDEX(Raw_Tariff_Ref!$H$2:$H$10,MATCH(R22,Raw_Tariff_Ref!$I$2:$I$10,0)),0)</f>
        <v/>
      </c>
      <c r="T22" s="27">
        <f>IF(G22="","",G22*F22)</f>
        <v/>
      </c>
      <c r="U22" s="27">
        <f>IF(G22="","",G22*(1+S22))</f>
        <v/>
      </c>
      <c r="V22" s="27">
        <f>IF(U22="","",U22*F22)</f>
        <v/>
      </c>
      <c r="W22" s="6">
        <f>IF(COUNTIF($A$2:A22,A22)=1,1,0)</f>
        <v/>
      </c>
    </row>
    <row r="23">
      <c r="A23" s="6" t="inlineStr">
        <is>
          <t>PO-1210</t>
        </is>
      </c>
      <c r="B23" s="6" t="inlineStr">
        <is>
          <t>SUP-003</t>
        </is>
      </c>
      <c r="C23" s="6" t="inlineStr">
        <is>
          <t>Network Switches</t>
        </is>
      </c>
      <c r="D23" s="6" t="n">
        <v>8517.620000000001</v>
      </c>
      <c r="E23" s="26" t="n">
        <v>45695</v>
      </c>
      <c r="F23" s="6" t="n">
        <v>5</v>
      </c>
      <c r="G23" s="27" t="n">
        <v>1984.45</v>
      </c>
      <c r="H23" s="6" t="inlineStr">
        <is>
          <t>CIF</t>
        </is>
      </c>
      <c r="I23" s="6" t="inlineStr">
        <is>
          <t>Air</t>
        </is>
      </c>
      <c r="J23" s="26" t="n">
        <v>45728</v>
      </c>
      <c r="K23" s="26" t="n">
        <v>45726</v>
      </c>
      <c r="L23" s="6" t="n">
        <v>8</v>
      </c>
      <c r="M23" s="6" t="inlineStr">
        <is>
          <t>N</t>
        </is>
      </c>
      <c r="N23" s="6" t="inlineStr">
        <is>
          <t>Delivered</t>
        </is>
      </c>
      <c r="O23" s="6">
        <f>IF(K23="",0,K23-E23)</f>
        <v/>
      </c>
      <c r="P23" s="6">
        <f>IF(N23&lt;&gt;"Delivered","",IF(K23&lt;=J23,1,0))</f>
        <v/>
      </c>
      <c r="Q23" s="6">
        <f>IFERROR(INDEX(Raw_Suppliers!$C$2:$C$4,MATCH(B23,Raw_Suppliers!$A$2:$A$4,0)),"")</f>
        <v/>
      </c>
      <c r="R23" s="6">
        <f>Q23&amp;"|"&amp;D23</f>
        <v/>
      </c>
      <c r="S23" s="28">
        <f>IFERROR(INDEX(Raw_Tariff_Ref!$H$2:$H$10,MATCH(R23,Raw_Tariff_Ref!$I$2:$I$10,0)),0)</f>
        <v/>
      </c>
      <c r="T23" s="27">
        <f>IF(G23="","",G23*F23)</f>
        <v/>
      </c>
      <c r="U23" s="27">
        <f>IF(G23="","",G23*(1+S23))</f>
        <v/>
      </c>
      <c r="V23" s="27">
        <f>IF(U23="","",U23*F23)</f>
        <v/>
      </c>
      <c r="W23" s="6">
        <f>IF(COUNTIF($A$2:A23,A23)=1,1,0)</f>
        <v/>
      </c>
    </row>
    <row r="24">
      <c r="A24" s="6" t="inlineStr">
        <is>
          <t>PO-1079</t>
        </is>
      </c>
      <c r="B24" s="6" t="inlineStr">
        <is>
          <t>SUP-003</t>
        </is>
      </c>
      <c r="C24" s="6" t="inlineStr">
        <is>
          <t>GPU Servers</t>
        </is>
      </c>
      <c r="D24" s="6" t="n">
        <v>8471.5</v>
      </c>
      <c r="E24" s="26" t="n">
        <v>45700</v>
      </c>
      <c r="F24" s="6" t="n">
        <v>10</v>
      </c>
      <c r="G24" s="27" t="n">
        <v>13636.96</v>
      </c>
      <c r="H24" s="6" t="inlineStr">
        <is>
          <t>FOB</t>
        </is>
      </c>
      <c r="I24" s="6" t="inlineStr">
        <is>
          <t>Ocean</t>
        </is>
      </c>
      <c r="J24" s="26" t="n">
        <v>45734</v>
      </c>
      <c r="K24" s="26" t="n">
        <v>45733</v>
      </c>
      <c r="L24" s="6" t="n">
        <v>11</v>
      </c>
      <c r="M24" s="6" t="inlineStr">
        <is>
          <t>N</t>
        </is>
      </c>
      <c r="N24" s="6" t="inlineStr">
        <is>
          <t>Delivered</t>
        </is>
      </c>
      <c r="O24" s="6">
        <f>IF(K24="",0,K24-E24)</f>
        <v/>
      </c>
      <c r="P24" s="6">
        <f>IF(N24&lt;&gt;"Delivered","",IF(K24&lt;=J24,1,0))</f>
        <v/>
      </c>
      <c r="Q24" s="6">
        <f>IFERROR(INDEX(Raw_Suppliers!$C$2:$C$4,MATCH(B24,Raw_Suppliers!$A$2:$A$4,0)),"")</f>
        <v/>
      </c>
      <c r="R24" s="6">
        <f>Q24&amp;"|"&amp;D24</f>
        <v/>
      </c>
      <c r="S24" s="28">
        <f>IFERROR(INDEX(Raw_Tariff_Ref!$H$2:$H$10,MATCH(R24,Raw_Tariff_Ref!$I$2:$I$10,0)),0)</f>
        <v/>
      </c>
      <c r="T24" s="27">
        <f>IF(G24="","",G24*F24)</f>
        <v/>
      </c>
      <c r="U24" s="27">
        <f>IF(G24="","",G24*(1+S24))</f>
        <v/>
      </c>
      <c r="V24" s="27">
        <f>IF(U24="","",U24*F24)</f>
        <v/>
      </c>
      <c r="W24" s="6">
        <f>IF(COUNTIF($A$2:A24,A24)=1,1,0)</f>
        <v/>
      </c>
    </row>
    <row r="25">
      <c r="A25" s="6" t="inlineStr">
        <is>
          <t>PO-1198</t>
        </is>
      </c>
      <c r="B25" s="6" t="inlineStr">
        <is>
          <t>SUP-003</t>
        </is>
      </c>
      <c r="C25" s="6" t="inlineStr">
        <is>
          <t>Network Switches</t>
        </is>
      </c>
      <c r="D25" s="6" t="n">
        <v>8517.620000000001</v>
      </c>
      <c r="E25" s="26" t="n">
        <v>45701</v>
      </c>
      <c r="F25" s="6" t="n">
        <v>40</v>
      </c>
      <c r="G25" s="27" t="n">
        <v>2827.33</v>
      </c>
      <c r="H25" s="6" t="inlineStr">
        <is>
          <t>FOB</t>
        </is>
      </c>
      <c r="I25" s="6" t="inlineStr">
        <is>
          <t>Air</t>
        </is>
      </c>
      <c r="J25" s="26" t="n">
        <v>45738</v>
      </c>
      <c r="K25" s="26" t="n">
        <v>45738</v>
      </c>
      <c r="L25" s="6" t="n">
        <v>10</v>
      </c>
      <c r="M25" s="6" t="inlineStr">
        <is>
          <t>N</t>
        </is>
      </c>
      <c r="N25" s="6" t="inlineStr">
        <is>
          <t>Delivered</t>
        </is>
      </c>
      <c r="O25" s="6">
        <f>IF(K25="",0,K25-E25)</f>
        <v/>
      </c>
      <c r="P25" s="6">
        <f>IF(N25&lt;&gt;"Delivered","",IF(K25&lt;=J25,1,0))</f>
        <v/>
      </c>
      <c r="Q25" s="6">
        <f>IFERROR(INDEX(Raw_Suppliers!$C$2:$C$4,MATCH(B25,Raw_Suppliers!$A$2:$A$4,0)),"")</f>
        <v/>
      </c>
      <c r="R25" s="6">
        <f>Q25&amp;"|"&amp;D25</f>
        <v/>
      </c>
      <c r="S25" s="28">
        <f>IFERROR(INDEX(Raw_Tariff_Ref!$H$2:$H$10,MATCH(R25,Raw_Tariff_Ref!$I$2:$I$10,0)),0)</f>
        <v/>
      </c>
      <c r="T25" s="27">
        <f>IF(G25="","",G25*F25)</f>
        <v/>
      </c>
      <c r="U25" s="27">
        <f>IF(G25="","",G25*(1+S25))</f>
        <v/>
      </c>
      <c r="V25" s="27">
        <f>IF(U25="","",U25*F25)</f>
        <v/>
      </c>
      <c r="W25" s="6">
        <f>IF(COUNTIF($A$2:A25,A25)=1,1,0)</f>
        <v/>
      </c>
    </row>
    <row r="26">
      <c r="A26" s="6" t="inlineStr">
        <is>
          <t>PO-1097</t>
        </is>
      </c>
      <c r="B26" s="6" t="inlineStr">
        <is>
          <t>SUP-003</t>
        </is>
      </c>
      <c r="C26" s="6" t="inlineStr">
        <is>
          <t>GPU Servers</t>
        </is>
      </c>
      <c r="D26" s="6" t="n">
        <v>8471.5</v>
      </c>
      <c r="E26" s="26" t="n">
        <v>45703</v>
      </c>
      <c r="F26" s="6" t="n">
        <v>2</v>
      </c>
      <c r="G26" s="27" t="n">
        <v>13876.49</v>
      </c>
      <c r="H26" s="6" t="inlineStr">
        <is>
          <t>CIF</t>
        </is>
      </c>
      <c r="I26" s="6" t="inlineStr">
        <is>
          <t>Ocean</t>
        </is>
      </c>
      <c r="J26" s="26" t="n">
        <v>45741</v>
      </c>
      <c r="K26" s="26" t="n">
        <v>45740</v>
      </c>
      <c r="L26" s="6" t="n">
        <v>4</v>
      </c>
      <c r="M26" s="6" t="inlineStr">
        <is>
          <t>N</t>
        </is>
      </c>
      <c r="N26" s="6" t="inlineStr">
        <is>
          <t>Delivered</t>
        </is>
      </c>
      <c r="O26" s="6">
        <f>IF(K26="",0,K26-E26)</f>
        <v/>
      </c>
      <c r="P26" s="6">
        <f>IF(N26&lt;&gt;"Delivered","",IF(K26&lt;=J26,1,0))</f>
        <v/>
      </c>
      <c r="Q26" s="6">
        <f>IFERROR(INDEX(Raw_Suppliers!$C$2:$C$4,MATCH(B26,Raw_Suppliers!$A$2:$A$4,0)),"")</f>
        <v/>
      </c>
      <c r="R26" s="6">
        <f>Q26&amp;"|"&amp;D26</f>
        <v/>
      </c>
      <c r="S26" s="28">
        <f>IFERROR(INDEX(Raw_Tariff_Ref!$H$2:$H$10,MATCH(R26,Raw_Tariff_Ref!$I$2:$I$10,0)),0)</f>
        <v/>
      </c>
      <c r="T26" s="27">
        <f>IF(G26="","",G26*F26)</f>
        <v/>
      </c>
      <c r="U26" s="27">
        <f>IF(G26="","",G26*(1+S26))</f>
        <v/>
      </c>
      <c r="V26" s="27">
        <f>IF(U26="","",U26*F26)</f>
        <v/>
      </c>
      <c r="W26" s="6">
        <f>IF(COUNTIF($A$2:A26,A26)=1,1,0)</f>
        <v/>
      </c>
    </row>
    <row r="27">
      <c r="A27" s="6" t="inlineStr">
        <is>
          <t>PO-1266</t>
        </is>
      </c>
      <c r="B27" s="6" t="inlineStr">
        <is>
          <t>SUP-003</t>
        </is>
      </c>
      <c r="C27" s="6" t="inlineStr">
        <is>
          <t>Network Switches</t>
        </is>
      </c>
      <c r="D27" s="6" t="n">
        <v>8517.620000000001</v>
      </c>
      <c r="E27" s="26" t="n">
        <v>45705</v>
      </c>
      <c r="F27" s="6" t="n">
        <v>25</v>
      </c>
      <c r="G27" s="27" t="n">
        <v>2165.52</v>
      </c>
      <c r="H27" s="6" t="inlineStr">
        <is>
          <t>FOB</t>
        </is>
      </c>
      <c r="I27" s="6" t="inlineStr">
        <is>
          <t>Ocean</t>
        </is>
      </c>
      <c r="J27" s="26" t="n">
        <v>45734</v>
      </c>
      <c r="K27" s="26" t="n">
        <v>45764</v>
      </c>
      <c r="L27" s="6" t="n">
        <v>6</v>
      </c>
      <c r="M27" s="6" t="inlineStr">
        <is>
          <t>N</t>
        </is>
      </c>
      <c r="N27" s="6" t="inlineStr">
        <is>
          <t>Delivered</t>
        </is>
      </c>
      <c r="O27" s="6">
        <f>IF(K27="",0,K27-E27)</f>
        <v/>
      </c>
      <c r="P27" s="6">
        <f>IF(N27&lt;&gt;"Delivered","",IF(K27&lt;=J27,1,0))</f>
        <v/>
      </c>
      <c r="Q27" s="6">
        <f>IFERROR(INDEX(Raw_Suppliers!$C$2:$C$4,MATCH(B27,Raw_Suppliers!$A$2:$A$4,0)),"")</f>
        <v/>
      </c>
      <c r="R27" s="6">
        <f>Q27&amp;"|"&amp;D27</f>
        <v/>
      </c>
      <c r="S27" s="28">
        <f>IFERROR(INDEX(Raw_Tariff_Ref!$H$2:$H$10,MATCH(R27,Raw_Tariff_Ref!$I$2:$I$10,0)),0)</f>
        <v/>
      </c>
      <c r="T27" s="27">
        <f>IF(G27="","",G27*F27)</f>
        <v/>
      </c>
      <c r="U27" s="27">
        <f>IF(G27="","",G27*(1+S27))</f>
        <v/>
      </c>
      <c r="V27" s="27">
        <f>IF(U27="","",U27*F27)</f>
        <v/>
      </c>
      <c r="W27" s="6">
        <f>IF(COUNTIF($A$2:A27,A27)=1,1,0)</f>
        <v/>
      </c>
    </row>
    <row r="28">
      <c r="A28" s="6" t="inlineStr">
        <is>
          <t>PO-1031</t>
        </is>
      </c>
      <c r="B28" s="6" t="inlineStr">
        <is>
          <t>SUP-003</t>
        </is>
      </c>
      <c r="C28" s="6" t="inlineStr">
        <is>
          <t>Network Switches</t>
        </is>
      </c>
      <c r="D28" s="6" t="n">
        <v>8517.620000000001</v>
      </c>
      <c r="E28" s="26" t="n">
        <v>45708</v>
      </c>
      <c r="F28" s="6" t="n">
        <v>10</v>
      </c>
      <c r="G28" s="27" t="n">
        <v>3380.33</v>
      </c>
      <c r="H28" s="6" t="inlineStr">
        <is>
          <t>FOB</t>
        </is>
      </c>
      <c r="I28" s="6" t="inlineStr">
        <is>
          <t>Air</t>
        </is>
      </c>
      <c r="J28" s="26" t="n">
        <v>45738</v>
      </c>
      <c r="K28" s="26" t="n">
        <v>45736</v>
      </c>
      <c r="L28" s="6" t="n">
        <v>11</v>
      </c>
      <c r="M28" s="6" t="inlineStr">
        <is>
          <t>N</t>
        </is>
      </c>
      <c r="N28" s="6" t="inlineStr">
        <is>
          <t>Delivered</t>
        </is>
      </c>
      <c r="O28" s="6">
        <f>IF(K28="",0,K28-E28)</f>
        <v/>
      </c>
      <c r="P28" s="6">
        <f>IF(N28&lt;&gt;"Delivered","",IF(K28&lt;=J28,1,0))</f>
        <v/>
      </c>
      <c r="Q28" s="6">
        <f>IFERROR(INDEX(Raw_Suppliers!$C$2:$C$4,MATCH(B28,Raw_Suppliers!$A$2:$A$4,0)),"")</f>
        <v/>
      </c>
      <c r="R28" s="6">
        <f>Q28&amp;"|"&amp;D28</f>
        <v/>
      </c>
      <c r="S28" s="28">
        <f>IFERROR(INDEX(Raw_Tariff_Ref!$H$2:$H$10,MATCH(R28,Raw_Tariff_Ref!$I$2:$I$10,0)),0)</f>
        <v/>
      </c>
      <c r="T28" s="27">
        <f>IF(G28="","",G28*F28)</f>
        <v/>
      </c>
      <c r="U28" s="27">
        <f>IF(G28="","",G28*(1+S28))</f>
        <v/>
      </c>
      <c r="V28" s="27">
        <f>IF(U28="","",U28*F28)</f>
        <v/>
      </c>
      <c r="W28" s="6">
        <f>IF(COUNTIF($A$2:A28,A28)=1,1,0)</f>
        <v/>
      </c>
    </row>
    <row r="29">
      <c r="A29" s="6" t="inlineStr">
        <is>
          <t>PO-1275</t>
        </is>
      </c>
      <c r="B29" s="6" t="inlineStr">
        <is>
          <t>SUP-003</t>
        </is>
      </c>
      <c r="C29" s="6" t="inlineStr">
        <is>
          <t>PDU / MEP Equipment</t>
        </is>
      </c>
      <c r="D29" s="6" t="n">
        <v>8537.1</v>
      </c>
      <c r="E29" s="26" t="n">
        <v>45710</v>
      </c>
      <c r="F29" s="6" t="n">
        <v>2</v>
      </c>
      <c r="G29" s="27" t="n">
        <v>2297.91</v>
      </c>
      <c r="H29" s="6" t="inlineStr">
        <is>
          <t>EXW</t>
        </is>
      </c>
      <c r="I29" s="6" t="inlineStr">
        <is>
          <t>Air</t>
        </is>
      </c>
      <c r="J29" s="26" t="n">
        <v>45742</v>
      </c>
      <c r="K29" s="26" t="n">
        <v>45741</v>
      </c>
      <c r="L29" s="6" t="n">
        <v>10</v>
      </c>
      <c r="M29" s="6" t="inlineStr">
        <is>
          <t>N</t>
        </is>
      </c>
      <c r="N29" s="6" t="inlineStr">
        <is>
          <t>Delivered</t>
        </is>
      </c>
      <c r="O29" s="6">
        <f>IF(K29="",0,K29-E29)</f>
        <v/>
      </c>
      <c r="P29" s="6">
        <f>IF(N29&lt;&gt;"Delivered","",IF(K29&lt;=J29,1,0))</f>
        <v/>
      </c>
      <c r="Q29" s="6">
        <f>IFERROR(INDEX(Raw_Suppliers!$C$2:$C$4,MATCH(B29,Raw_Suppliers!$A$2:$A$4,0)),"")</f>
        <v/>
      </c>
      <c r="R29" s="6">
        <f>Q29&amp;"|"&amp;D29</f>
        <v/>
      </c>
      <c r="S29" s="28">
        <f>IFERROR(INDEX(Raw_Tariff_Ref!$H$2:$H$10,MATCH(R29,Raw_Tariff_Ref!$I$2:$I$10,0)),0)</f>
        <v/>
      </c>
      <c r="T29" s="27">
        <f>IF(G29="","",G29*F29)</f>
        <v/>
      </c>
      <c r="U29" s="27">
        <f>IF(G29="","",G29*(1+S29))</f>
        <v/>
      </c>
      <c r="V29" s="27">
        <f>IF(U29="","",U29*F29)</f>
        <v/>
      </c>
      <c r="W29" s="6">
        <f>IF(COUNTIF($A$2:A29,A29)=1,1,0)</f>
        <v/>
      </c>
    </row>
    <row r="30">
      <c r="A30" s="6" t="inlineStr">
        <is>
          <t>PO-1118</t>
        </is>
      </c>
      <c r="B30" s="6" t="inlineStr">
        <is>
          <t>SUP-002</t>
        </is>
      </c>
      <c r="C30" s="6" t="inlineStr">
        <is>
          <t>GPU Servers</t>
        </is>
      </c>
      <c r="D30" s="6" t="n">
        <v>8471.5</v>
      </c>
      <c r="E30" s="26" t="n">
        <v>45715</v>
      </c>
      <c r="F30" s="6" t="n">
        <v>10</v>
      </c>
      <c r="G30" s="27" t="n"/>
      <c r="H30" s="6" t="inlineStr">
        <is>
          <t>fob</t>
        </is>
      </c>
      <c r="I30" s="6" t="inlineStr">
        <is>
          <t>Truck</t>
        </is>
      </c>
      <c r="J30" s="26" t="n">
        <v>45733</v>
      </c>
      <c r="K30" s="26" t="n">
        <v>45753</v>
      </c>
      <c r="L30" s="6" t="n">
        <v>4</v>
      </c>
      <c r="M30" s="6" t="inlineStr">
        <is>
          <t>N</t>
        </is>
      </c>
      <c r="N30" s="6" t="inlineStr">
        <is>
          <t>Delivered</t>
        </is>
      </c>
      <c r="O30" s="6">
        <f>IF(K30="",0,K30-E30)</f>
        <v/>
      </c>
      <c r="P30" s="6">
        <f>IF(N30&lt;&gt;"Delivered","",IF(K30&lt;=J30,1,0))</f>
        <v/>
      </c>
      <c r="Q30" s="6">
        <f>IFERROR(INDEX(Raw_Suppliers!$C$2:$C$4,MATCH(B30,Raw_Suppliers!$A$2:$A$4,0)),"")</f>
        <v/>
      </c>
      <c r="R30" s="6">
        <f>Q30&amp;"|"&amp;D30</f>
        <v/>
      </c>
      <c r="S30" s="28">
        <f>IFERROR(INDEX(Raw_Tariff_Ref!$H$2:$H$10,MATCH(R30,Raw_Tariff_Ref!$I$2:$I$10,0)),0)</f>
        <v/>
      </c>
      <c r="T30" s="27">
        <f>IF(G30="","",G30*F30)</f>
        <v/>
      </c>
      <c r="U30" s="27">
        <f>IF(G30="","",G30*(1+S30))</f>
        <v/>
      </c>
      <c r="V30" s="27">
        <f>IF(U30="","",U30*F30)</f>
        <v/>
      </c>
      <c r="W30" s="6">
        <f>IF(COUNTIF($A$2:A30,A30)=1,1,0)</f>
        <v/>
      </c>
    </row>
    <row r="31">
      <c r="A31" s="6" t="inlineStr">
        <is>
          <t>PO-1019</t>
        </is>
      </c>
      <c r="B31" s="6" t="inlineStr">
        <is>
          <t>SUP-002</t>
        </is>
      </c>
      <c r="C31" s="6" t="inlineStr">
        <is>
          <t>GPU Servers</t>
        </is>
      </c>
      <c r="D31" s="6" t="n">
        <v>8471.5</v>
      </c>
      <c r="E31" s="26" t="n">
        <v>45718</v>
      </c>
      <c r="F31" s="6" t="n">
        <v>4</v>
      </c>
      <c r="G31" s="27" t="n">
        <v>21292.19</v>
      </c>
      <c r="H31" s="6" t="inlineStr">
        <is>
          <t>CIF</t>
        </is>
      </c>
      <c r="I31" s="6" t="inlineStr">
        <is>
          <t>Truck</t>
        </is>
      </c>
      <c r="J31" s="26" t="n">
        <v>45731</v>
      </c>
      <c r="K31" s="26" t="n">
        <v>45731</v>
      </c>
      <c r="L31" s="6" t="n">
        <v>2</v>
      </c>
      <c r="M31" s="6" t="inlineStr">
        <is>
          <t>N</t>
        </is>
      </c>
      <c r="N31" s="6" t="inlineStr">
        <is>
          <t>Delivered</t>
        </is>
      </c>
      <c r="O31" s="6">
        <f>IF(K31="",0,K31-E31)</f>
        <v/>
      </c>
      <c r="P31" s="6">
        <f>IF(N31&lt;&gt;"Delivered","",IF(K31&lt;=J31,1,0))</f>
        <v/>
      </c>
      <c r="Q31" s="6">
        <f>IFERROR(INDEX(Raw_Suppliers!$C$2:$C$4,MATCH(B31,Raw_Suppliers!$A$2:$A$4,0)),"")</f>
        <v/>
      </c>
      <c r="R31" s="6">
        <f>Q31&amp;"|"&amp;D31</f>
        <v/>
      </c>
      <c r="S31" s="28">
        <f>IFERROR(INDEX(Raw_Tariff_Ref!$H$2:$H$10,MATCH(R31,Raw_Tariff_Ref!$I$2:$I$10,0)),0)</f>
        <v/>
      </c>
      <c r="T31" s="27">
        <f>IF(G31="","",G31*F31)</f>
        <v/>
      </c>
      <c r="U31" s="27">
        <f>IF(G31="","",G31*(1+S31))</f>
        <v/>
      </c>
      <c r="V31" s="27">
        <f>IF(U31="","",U31*F31)</f>
        <v/>
      </c>
      <c r="W31" s="6">
        <f>IF(COUNTIF($A$2:A31,A31)=1,1,0)</f>
        <v/>
      </c>
    </row>
    <row r="32">
      <c r="A32" s="6" t="inlineStr">
        <is>
          <t>PO-1133</t>
        </is>
      </c>
      <c r="B32" s="6" t="inlineStr">
        <is>
          <t>SUP-003</t>
        </is>
      </c>
      <c r="C32" s="6" t="inlineStr">
        <is>
          <t>Network Switches</t>
        </is>
      </c>
      <c r="D32" s="6" t="n">
        <v>8517.620000000001</v>
      </c>
      <c r="E32" s="26" t="n">
        <v>45720</v>
      </c>
      <c r="F32" s="6" t="n">
        <v>10</v>
      </c>
      <c r="G32" s="27" t="n">
        <v>1953.91</v>
      </c>
      <c r="H32" s="6" t="inlineStr">
        <is>
          <t>EXW</t>
        </is>
      </c>
      <c r="I32" s="6" t="inlineStr">
        <is>
          <t>Ocean</t>
        </is>
      </c>
      <c r="J32" s="26" t="n">
        <v>45751</v>
      </c>
      <c r="K32" s="26" t="n">
        <v>45749</v>
      </c>
      <c r="L32" s="6" t="n">
        <v>8</v>
      </c>
      <c r="M32" s="6" t="inlineStr">
        <is>
          <t>N</t>
        </is>
      </c>
      <c r="N32" s="6" t="inlineStr">
        <is>
          <t>Delivered</t>
        </is>
      </c>
      <c r="O32" s="6">
        <f>IF(K32="",0,K32-E32)</f>
        <v/>
      </c>
      <c r="P32" s="6">
        <f>IF(N32&lt;&gt;"Delivered","",IF(K32&lt;=J32,1,0))</f>
        <v/>
      </c>
      <c r="Q32" s="6">
        <f>IFERROR(INDEX(Raw_Suppliers!$C$2:$C$4,MATCH(B32,Raw_Suppliers!$A$2:$A$4,0)),"")</f>
        <v/>
      </c>
      <c r="R32" s="6">
        <f>Q32&amp;"|"&amp;D32</f>
        <v/>
      </c>
      <c r="S32" s="28">
        <f>IFERROR(INDEX(Raw_Tariff_Ref!$H$2:$H$10,MATCH(R32,Raw_Tariff_Ref!$I$2:$I$10,0)),0)</f>
        <v/>
      </c>
      <c r="T32" s="27">
        <f>IF(G32="","",G32*F32)</f>
        <v/>
      </c>
      <c r="U32" s="27">
        <f>IF(G32="","",G32*(1+S32))</f>
        <v/>
      </c>
      <c r="V32" s="27">
        <f>IF(U32="","",U32*F32)</f>
        <v/>
      </c>
      <c r="W32" s="6">
        <f>IF(COUNTIF($A$2:A32,A32)=1,1,0)</f>
        <v/>
      </c>
    </row>
    <row r="33">
      <c r="A33" s="6" t="inlineStr">
        <is>
          <t>PO-1290</t>
        </is>
      </c>
      <c r="B33" s="6" t="inlineStr">
        <is>
          <t>SUP-003</t>
        </is>
      </c>
      <c r="C33" s="6" t="inlineStr">
        <is>
          <t>PDU / MEP Equipment</t>
        </is>
      </c>
      <c r="D33" s="6" t="n">
        <v>8537.1</v>
      </c>
      <c r="E33" s="26" t="n">
        <v>45722</v>
      </c>
      <c r="F33" s="6" t="n">
        <v>4</v>
      </c>
      <c r="G33" s="27" t="n">
        <v>2104.21</v>
      </c>
      <c r="H33" s="6" t="inlineStr">
        <is>
          <t>CIF</t>
        </is>
      </c>
      <c r="I33" s="6" t="inlineStr">
        <is>
          <t>Ocean</t>
        </is>
      </c>
      <c r="J33" s="26" t="n">
        <v>45756</v>
      </c>
      <c r="K33" s="26" t="n">
        <v>45755</v>
      </c>
      <c r="L33" s="6" t="n">
        <v>7</v>
      </c>
      <c r="M33" s="6" t="inlineStr">
        <is>
          <t>N</t>
        </is>
      </c>
      <c r="N33" s="6" t="inlineStr">
        <is>
          <t>Delivered</t>
        </is>
      </c>
      <c r="O33" s="6">
        <f>IF(K33="",0,K33-E33)</f>
        <v/>
      </c>
      <c r="P33" s="6">
        <f>IF(N33&lt;&gt;"Delivered","",IF(K33&lt;=J33,1,0))</f>
        <v/>
      </c>
      <c r="Q33" s="6">
        <f>IFERROR(INDEX(Raw_Suppliers!$C$2:$C$4,MATCH(B33,Raw_Suppliers!$A$2:$A$4,0)),"")</f>
        <v/>
      </c>
      <c r="R33" s="6">
        <f>Q33&amp;"|"&amp;D33</f>
        <v/>
      </c>
      <c r="S33" s="28">
        <f>IFERROR(INDEX(Raw_Tariff_Ref!$H$2:$H$10,MATCH(R33,Raw_Tariff_Ref!$I$2:$I$10,0)),0)</f>
        <v/>
      </c>
      <c r="T33" s="27">
        <f>IF(G33="","",G33*F33)</f>
        <v/>
      </c>
      <c r="U33" s="27">
        <f>IF(G33="","",G33*(1+S33))</f>
        <v/>
      </c>
      <c r="V33" s="27">
        <f>IF(U33="","",U33*F33)</f>
        <v/>
      </c>
      <c r="W33" s="6">
        <f>IF(COUNTIF($A$2:A33,A33)=1,1,0)</f>
        <v/>
      </c>
    </row>
    <row r="34">
      <c r="A34" s="6" t="inlineStr">
        <is>
          <t>PO-1270</t>
        </is>
      </c>
      <c r="B34" s="6" t="inlineStr">
        <is>
          <t>SUP-003</t>
        </is>
      </c>
      <c r="C34" s="6" t="inlineStr">
        <is>
          <t>Network Switches</t>
        </is>
      </c>
      <c r="D34" s="6" t="n">
        <v>8517.620000000001</v>
      </c>
      <c r="E34" s="26" t="n">
        <v>45723</v>
      </c>
      <c r="F34" s="6" t="n">
        <v>5</v>
      </c>
      <c r="G34" s="27" t="n">
        <v>1958.97</v>
      </c>
      <c r="H34" s="6" t="inlineStr">
        <is>
          <t>CIF</t>
        </is>
      </c>
      <c r="I34" s="6" t="inlineStr">
        <is>
          <t>Air</t>
        </is>
      </c>
      <c r="J34" s="26" t="n">
        <v>45774</v>
      </c>
      <c r="K34" s="26" t="n">
        <v>45784</v>
      </c>
      <c r="L34" s="6" t="n">
        <v>6</v>
      </c>
      <c r="M34" s="6" t="inlineStr">
        <is>
          <t>N</t>
        </is>
      </c>
      <c r="N34" s="6" t="inlineStr">
        <is>
          <t>Delivered</t>
        </is>
      </c>
      <c r="O34" s="6">
        <f>IF(K34="",0,K34-E34)</f>
        <v/>
      </c>
      <c r="P34" s="6">
        <f>IF(N34&lt;&gt;"Delivered","",IF(K34&lt;=J34,1,0))</f>
        <v/>
      </c>
      <c r="Q34" s="6">
        <f>IFERROR(INDEX(Raw_Suppliers!$C$2:$C$4,MATCH(B34,Raw_Suppliers!$A$2:$A$4,0)),"")</f>
        <v/>
      </c>
      <c r="R34" s="6">
        <f>Q34&amp;"|"&amp;D34</f>
        <v/>
      </c>
      <c r="S34" s="28">
        <f>IFERROR(INDEX(Raw_Tariff_Ref!$H$2:$H$10,MATCH(R34,Raw_Tariff_Ref!$I$2:$I$10,0)),0)</f>
        <v/>
      </c>
      <c r="T34" s="27">
        <f>IF(G34="","",G34*F34)</f>
        <v/>
      </c>
      <c r="U34" s="27">
        <f>IF(G34="","",G34*(1+S34))</f>
        <v/>
      </c>
      <c r="V34" s="27">
        <f>IF(U34="","",U34*F34)</f>
        <v/>
      </c>
      <c r="W34" s="6">
        <f>IF(COUNTIF($A$2:A34,A34)=1,1,0)</f>
        <v/>
      </c>
    </row>
    <row r="35">
      <c r="A35" s="6" t="inlineStr">
        <is>
          <t>PO-1228</t>
        </is>
      </c>
      <c r="B35" s="6" t="inlineStr">
        <is>
          <t>SUP-003</t>
        </is>
      </c>
      <c r="C35" s="6" t="inlineStr">
        <is>
          <t>GPU Servers</t>
        </is>
      </c>
      <c r="D35" s="6" t="n">
        <v>8471.5</v>
      </c>
      <c r="E35" s="26" t="n">
        <v>45723</v>
      </c>
      <c r="F35" s="6" t="n">
        <v>2</v>
      </c>
      <c r="G35" s="27" t="n">
        <v>17172.45</v>
      </c>
      <c r="H35" s="6" t="inlineStr">
        <is>
          <t>FOB</t>
        </is>
      </c>
      <c r="I35" s="6" t="inlineStr">
        <is>
          <t>Ocean</t>
        </is>
      </c>
      <c r="J35" s="26" t="n">
        <v>45748</v>
      </c>
      <c r="K35" s="26" t="n">
        <v>45746</v>
      </c>
      <c r="L35" s="6" t="n">
        <v>6</v>
      </c>
      <c r="M35" s="6" t="inlineStr">
        <is>
          <t>N</t>
        </is>
      </c>
      <c r="N35" s="6" t="inlineStr">
        <is>
          <t>Delivered</t>
        </is>
      </c>
      <c r="O35" s="6">
        <f>IF(K35="",0,K35-E35)</f>
        <v/>
      </c>
      <c r="P35" s="6">
        <f>IF(N35&lt;&gt;"Delivered","",IF(K35&lt;=J35,1,0))</f>
        <v/>
      </c>
      <c r="Q35" s="6">
        <f>IFERROR(INDEX(Raw_Suppliers!$C$2:$C$4,MATCH(B35,Raw_Suppliers!$A$2:$A$4,0)),"")</f>
        <v/>
      </c>
      <c r="R35" s="6">
        <f>Q35&amp;"|"&amp;D35</f>
        <v/>
      </c>
      <c r="S35" s="28">
        <f>IFERROR(INDEX(Raw_Tariff_Ref!$H$2:$H$10,MATCH(R35,Raw_Tariff_Ref!$I$2:$I$10,0)),0)</f>
        <v/>
      </c>
      <c r="T35" s="27">
        <f>IF(G35="","",G35*F35)</f>
        <v/>
      </c>
      <c r="U35" s="27">
        <f>IF(G35="","",G35*(1+S35))</f>
        <v/>
      </c>
      <c r="V35" s="27">
        <f>IF(U35="","",U35*F35)</f>
        <v/>
      </c>
      <c r="W35" s="6">
        <f>IF(COUNTIF($A$2:A35,A35)=1,1,0)</f>
        <v/>
      </c>
    </row>
    <row r="36">
      <c r="A36" s="6" t="inlineStr">
        <is>
          <t>PO-1112</t>
        </is>
      </c>
      <c r="B36" s="6" t="inlineStr">
        <is>
          <t>SUP-003</t>
        </is>
      </c>
      <c r="C36" s="6" t="inlineStr">
        <is>
          <t>PDU / MEP Equipment</t>
        </is>
      </c>
      <c r="D36" s="6" t="n">
        <v>8537.1</v>
      </c>
      <c r="E36" s="26" t="n">
        <v>45725</v>
      </c>
      <c r="F36" s="6" t="n">
        <v>16</v>
      </c>
      <c r="G36" s="27" t="n">
        <v>1418.55</v>
      </c>
      <c r="H36" s="6" t="inlineStr">
        <is>
          <t>FOB</t>
        </is>
      </c>
      <c r="I36" s="6" t="inlineStr">
        <is>
          <t>Air</t>
        </is>
      </c>
      <c r="J36" s="26" t="n">
        <v>45756</v>
      </c>
      <c r="K36" s="26" t="n">
        <v>45783</v>
      </c>
      <c r="L36" s="6" t="n">
        <v>4</v>
      </c>
      <c r="M36" s="6" t="inlineStr">
        <is>
          <t>N</t>
        </is>
      </c>
      <c r="N36" s="6" t="inlineStr">
        <is>
          <t>Delivered</t>
        </is>
      </c>
      <c r="O36" s="6">
        <f>IF(K36="",0,K36-E36)</f>
        <v/>
      </c>
      <c r="P36" s="6">
        <f>IF(N36&lt;&gt;"Delivered","",IF(K36&lt;=J36,1,0))</f>
        <v/>
      </c>
      <c r="Q36" s="6">
        <f>IFERROR(INDEX(Raw_Suppliers!$C$2:$C$4,MATCH(B36,Raw_Suppliers!$A$2:$A$4,0)),"")</f>
        <v/>
      </c>
      <c r="R36" s="6">
        <f>Q36&amp;"|"&amp;D36</f>
        <v/>
      </c>
      <c r="S36" s="28">
        <f>IFERROR(INDEX(Raw_Tariff_Ref!$H$2:$H$10,MATCH(R36,Raw_Tariff_Ref!$I$2:$I$10,0)),0)</f>
        <v/>
      </c>
      <c r="T36" s="27">
        <f>IF(G36="","",G36*F36)</f>
        <v/>
      </c>
      <c r="U36" s="27">
        <f>IF(G36="","",G36*(1+S36))</f>
        <v/>
      </c>
      <c r="V36" s="27">
        <f>IF(U36="","",U36*F36)</f>
        <v/>
      </c>
      <c r="W36" s="6">
        <f>IF(COUNTIF($A$2:A36,A36)=1,1,0)</f>
        <v/>
      </c>
    </row>
    <row r="37">
      <c r="A37" s="6" t="inlineStr">
        <is>
          <t>PO-1206</t>
        </is>
      </c>
      <c r="B37" s="6" t="inlineStr">
        <is>
          <t>SUP-003</t>
        </is>
      </c>
      <c r="C37" s="6" t="inlineStr">
        <is>
          <t>PDU / MEP Equipment</t>
        </is>
      </c>
      <c r="D37" s="6" t="n">
        <v>8537.1</v>
      </c>
      <c r="E37" s="26" t="n">
        <v>45726</v>
      </c>
      <c r="F37" s="6" t="n">
        <v>8</v>
      </c>
      <c r="G37" s="27" t="n">
        <v>2332.58</v>
      </c>
      <c r="H37" s="6" t="inlineStr">
        <is>
          <t>EXW</t>
        </is>
      </c>
      <c r="I37" s="6" t="inlineStr">
        <is>
          <t>Ocean</t>
        </is>
      </c>
      <c r="J37" s="26" t="n">
        <v>45753</v>
      </c>
      <c r="K37" s="26" t="n">
        <v>45787</v>
      </c>
      <c r="L37" s="6" t="n">
        <v>8</v>
      </c>
      <c r="M37" s="6" t="inlineStr">
        <is>
          <t>N</t>
        </is>
      </c>
      <c r="N37" s="6" t="inlineStr">
        <is>
          <t>Delivered</t>
        </is>
      </c>
      <c r="O37" s="6">
        <f>IF(K37="",0,K37-E37)</f>
        <v/>
      </c>
      <c r="P37" s="6">
        <f>IF(N37&lt;&gt;"Delivered","",IF(K37&lt;=J37,1,0))</f>
        <v/>
      </c>
      <c r="Q37" s="6">
        <f>IFERROR(INDEX(Raw_Suppliers!$C$2:$C$4,MATCH(B37,Raw_Suppliers!$A$2:$A$4,0)),"")</f>
        <v/>
      </c>
      <c r="R37" s="6">
        <f>Q37&amp;"|"&amp;D37</f>
        <v/>
      </c>
      <c r="S37" s="28">
        <f>IFERROR(INDEX(Raw_Tariff_Ref!$H$2:$H$10,MATCH(R37,Raw_Tariff_Ref!$I$2:$I$10,0)),0)</f>
        <v/>
      </c>
      <c r="T37" s="27">
        <f>IF(G37="","",G37*F37)</f>
        <v/>
      </c>
      <c r="U37" s="27">
        <f>IF(G37="","",G37*(1+S37))</f>
        <v/>
      </c>
      <c r="V37" s="27">
        <f>IF(U37="","",U37*F37)</f>
        <v/>
      </c>
      <c r="W37" s="6">
        <f>IF(COUNTIF($A$2:A37,A37)=1,1,0)</f>
        <v/>
      </c>
    </row>
    <row r="38">
      <c r="A38" s="6" t="inlineStr">
        <is>
          <t>PO-1156</t>
        </is>
      </c>
      <c r="B38" s="6" t="inlineStr">
        <is>
          <t>SUP-003</t>
        </is>
      </c>
      <c r="C38" s="6" t="inlineStr">
        <is>
          <t>PDU / MEP Equipment</t>
        </is>
      </c>
      <c r="D38" s="6" t="n">
        <v>8537.1</v>
      </c>
      <c r="E38" s="26" t="n">
        <v>45727</v>
      </c>
      <c r="F38" s="6" t="n">
        <v>2</v>
      </c>
      <c r="G38" s="27" t="n">
        <v>1969.01</v>
      </c>
      <c r="H38" s="6" t="inlineStr">
        <is>
          <t>EXW</t>
        </is>
      </c>
      <c r="I38" s="6" t="inlineStr">
        <is>
          <t>Ocean</t>
        </is>
      </c>
      <c r="J38" s="26" t="n">
        <v>45764</v>
      </c>
      <c r="K38" s="26" t="n">
        <v>45795</v>
      </c>
      <c r="L38" s="6" t="n">
        <v>3</v>
      </c>
      <c r="M38" s="6" t="inlineStr">
        <is>
          <t>N</t>
        </is>
      </c>
      <c r="N38" s="6" t="inlineStr">
        <is>
          <t>Delivered</t>
        </is>
      </c>
      <c r="O38" s="6">
        <f>IF(K38="",0,K38-E38)</f>
        <v/>
      </c>
      <c r="P38" s="6">
        <f>IF(N38&lt;&gt;"Delivered","",IF(K38&lt;=J38,1,0))</f>
        <v/>
      </c>
      <c r="Q38" s="6">
        <f>IFERROR(INDEX(Raw_Suppliers!$C$2:$C$4,MATCH(B38,Raw_Suppliers!$A$2:$A$4,0)),"")</f>
        <v/>
      </c>
      <c r="R38" s="6">
        <f>Q38&amp;"|"&amp;D38</f>
        <v/>
      </c>
      <c r="S38" s="28">
        <f>IFERROR(INDEX(Raw_Tariff_Ref!$H$2:$H$10,MATCH(R38,Raw_Tariff_Ref!$I$2:$I$10,0)),0)</f>
        <v/>
      </c>
      <c r="T38" s="27">
        <f>IF(G38="","",G38*F38)</f>
        <v/>
      </c>
      <c r="U38" s="27">
        <f>IF(G38="","",G38*(1+S38))</f>
        <v/>
      </c>
      <c r="V38" s="27">
        <f>IF(U38="","",U38*F38)</f>
        <v/>
      </c>
      <c r="W38" s="6">
        <f>IF(COUNTIF($A$2:A38,A38)=1,1,0)</f>
        <v/>
      </c>
    </row>
    <row r="39">
      <c r="A39" s="6" t="inlineStr">
        <is>
          <t>PO-1016</t>
        </is>
      </c>
      <c r="B39" s="6" t="inlineStr">
        <is>
          <t>SUP-001</t>
        </is>
      </c>
      <c r="C39" s="6" t="inlineStr">
        <is>
          <t>GPU Servers</t>
        </is>
      </c>
      <c r="D39" s="6" t="n">
        <v>8471.5</v>
      </c>
      <c r="E39" s="26" t="n">
        <v>45728</v>
      </c>
      <c r="F39" s="6" t="n">
        <v>25</v>
      </c>
      <c r="G39" s="27" t="n">
        <v>22605.4</v>
      </c>
      <c r="H39" s="6" t="inlineStr">
        <is>
          <t>FOB</t>
        </is>
      </c>
      <c r="I39" s="6" t="inlineStr">
        <is>
          <t>Truck</t>
        </is>
      </c>
      <c r="J39" s="26" t="n">
        <v>45738</v>
      </c>
      <c r="K39" s="26" t="n">
        <v>45738</v>
      </c>
      <c r="L39" s="6" t="n">
        <v>0</v>
      </c>
      <c r="M39" s="6" t="inlineStr">
        <is>
          <t>N</t>
        </is>
      </c>
      <c r="N39" s="6" t="inlineStr">
        <is>
          <t>Delivered</t>
        </is>
      </c>
      <c r="O39" s="6">
        <f>IF(K39="",0,K39-E39)</f>
        <v/>
      </c>
      <c r="P39" s="6">
        <f>IF(N39&lt;&gt;"Delivered","",IF(K39&lt;=J39,1,0))</f>
        <v/>
      </c>
      <c r="Q39" s="6">
        <f>IFERROR(INDEX(Raw_Suppliers!$C$2:$C$4,MATCH(B39,Raw_Suppliers!$A$2:$A$4,0)),"")</f>
        <v/>
      </c>
      <c r="R39" s="6">
        <f>Q39&amp;"|"&amp;D39</f>
        <v/>
      </c>
      <c r="S39" s="28">
        <f>IFERROR(INDEX(Raw_Tariff_Ref!$H$2:$H$10,MATCH(R39,Raw_Tariff_Ref!$I$2:$I$10,0)),0)</f>
        <v/>
      </c>
      <c r="T39" s="27">
        <f>IF(G39="","",G39*F39)</f>
        <v/>
      </c>
      <c r="U39" s="27">
        <f>IF(G39="","",G39*(1+S39))</f>
        <v/>
      </c>
      <c r="V39" s="27">
        <f>IF(U39="","",U39*F39)</f>
        <v/>
      </c>
      <c r="W39" s="6">
        <f>IF(COUNTIF($A$2:A39,A39)=1,1,0)</f>
        <v/>
      </c>
    </row>
    <row r="40">
      <c r="A40" s="6" t="inlineStr">
        <is>
          <t>PO-1221</t>
        </is>
      </c>
      <c r="B40" s="6" t="inlineStr">
        <is>
          <t>SUP-002</t>
        </is>
      </c>
      <c r="C40" s="6" t="inlineStr">
        <is>
          <t>Network Switches</t>
        </is>
      </c>
      <c r="D40" s="6" t="n">
        <v>8517.620000000001</v>
      </c>
      <c r="E40" s="26" t="n">
        <v>45737</v>
      </c>
      <c r="F40" s="6" t="n">
        <v>25</v>
      </c>
      <c r="G40" s="27" t="n">
        <v>4992.43</v>
      </c>
      <c r="H40" s="6" t="inlineStr">
        <is>
          <t>FOB</t>
        </is>
      </c>
      <c r="I40" s="6" t="inlineStr">
        <is>
          <t>Ocean</t>
        </is>
      </c>
      <c r="J40" s="26" t="n">
        <v>45751</v>
      </c>
      <c r="K40" s="26" t="n">
        <v>45751</v>
      </c>
      <c r="L40" s="6" t="n">
        <v>3</v>
      </c>
      <c r="M40" s="6" t="inlineStr">
        <is>
          <t>N</t>
        </is>
      </c>
      <c r="N40" s="6" t="inlineStr">
        <is>
          <t>Delivered</t>
        </is>
      </c>
      <c r="O40" s="6">
        <f>IF(K40="",0,K40-E40)</f>
        <v/>
      </c>
      <c r="P40" s="6">
        <f>IF(N40&lt;&gt;"Delivered","",IF(K40&lt;=J40,1,0))</f>
        <v/>
      </c>
      <c r="Q40" s="6">
        <f>IFERROR(INDEX(Raw_Suppliers!$C$2:$C$4,MATCH(B40,Raw_Suppliers!$A$2:$A$4,0)),"")</f>
        <v/>
      </c>
      <c r="R40" s="6">
        <f>Q40&amp;"|"&amp;D40</f>
        <v/>
      </c>
      <c r="S40" s="28">
        <f>IFERROR(INDEX(Raw_Tariff_Ref!$H$2:$H$10,MATCH(R40,Raw_Tariff_Ref!$I$2:$I$10,0)),0)</f>
        <v/>
      </c>
      <c r="T40" s="27">
        <f>IF(G40="","",G40*F40)</f>
        <v/>
      </c>
      <c r="U40" s="27">
        <f>IF(G40="","",G40*(1+S40))</f>
        <v/>
      </c>
      <c r="V40" s="27">
        <f>IF(U40="","",U40*F40)</f>
        <v/>
      </c>
      <c r="W40" s="6">
        <f>IF(COUNTIF($A$2:A40,A40)=1,1,0)</f>
        <v/>
      </c>
    </row>
    <row r="41">
      <c r="A41" s="6" t="inlineStr">
        <is>
          <t>PO-1044</t>
        </is>
      </c>
      <c r="B41" s="6" t="inlineStr">
        <is>
          <t>SUP-001</t>
        </is>
      </c>
      <c r="C41" s="6" t="inlineStr">
        <is>
          <t>PDU / MEP Equipment</t>
        </is>
      </c>
      <c r="D41" s="6" t="n">
        <v>8537.1</v>
      </c>
      <c r="E41" s="26" t="n">
        <v>45737</v>
      </c>
      <c r="F41" s="6" t="n">
        <v>40</v>
      </c>
      <c r="G41" s="27" t="n">
        <v>3193.19</v>
      </c>
      <c r="H41" s="6" t="inlineStr">
        <is>
          <t>DDP</t>
        </is>
      </c>
      <c r="I41" s="6" t="inlineStr">
        <is>
          <t>Air</t>
        </is>
      </c>
      <c r="J41" s="26" t="n">
        <v>45748</v>
      </c>
      <c r="K41" s="26" t="n">
        <v>45748</v>
      </c>
      <c r="L41" s="6" t="n">
        <v>1</v>
      </c>
      <c r="M41" s="6" t="inlineStr">
        <is>
          <t>N</t>
        </is>
      </c>
      <c r="N41" s="6" t="inlineStr">
        <is>
          <t>Delivered</t>
        </is>
      </c>
      <c r="O41" s="6">
        <f>IF(K41="",0,K41-E41)</f>
        <v/>
      </c>
      <c r="P41" s="6">
        <f>IF(N41&lt;&gt;"Delivered","",IF(K41&lt;=J41,1,0))</f>
        <v/>
      </c>
      <c r="Q41" s="6">
        <f>IFERROR(INDEX(Raw_Suppliers!$C$2:$C$4,MATCH(B41,Raw_Suppliers!$A$2:$A$4,0)),"")</f>
        <v/>
      </c>
      <c r="R41" s="6">
        <f>Q41&amp;"|"&amp;D41</f>
        <v/>
      </c>
      <c r="S41" s="28">
        <f>IFERROR(INDEX(Raw_Tariff_Ref!$H$2:$H$10,MATCH(R41,Raw_Tariff_Ref!$I$2:$I$10,0)),0)</f>
        <v/>
      </c>
      <c r="T41" s="27">
        <f>IF(G41="","",G41*F41)</f>
        <v/>
      </c>
      <c r="U41" s="27">
        <f>IF(G41="","",G41*(1+S41))</f>
        <v/>
      </c>
      <c r="V41" s="27">
        <f>IF(U41="","",U41*F41)</f>
        <v/>
      </c>
      <c r="W41" s="6">
        <f>IF(COUNTIF($A$2:A41,A41)=1,1,0)</f>
        <v/>
      </c>
    </row>
    <row r="42">
      <c r="A42" s="6" t="inlineStr">
        <is>
          <t>PO-1303</t>
        </is>
      </c>
      <c r="B42" s="6" t="inlineStr">
        <is>
          <t>SUP-001</t>
        </is>
      </c>
      <c r="C42" s="6" t="inlineStr">
        <is>
          <t>PDU / MEP Equipment</t>
        </is>
      </c>
      <c r="D42" s="6" t="n">
        <v>8537.1</v>
      </c>
      <c r="E42" s="26" t="n">
        <v>45739</v>
      </c>
      <c r="F42" s="6" t="n">
        <v>16</v>
      </c>
      <c r="G42" s="27" t="n">
        <v>3844.46</v>
      </c>
      <c r="H42" s="6" t="inlineStr">
        <is>
          <t>FOB</t>
        </is>
      </c>
      <c r="I42" s="6" t="inlineStr">
        <is>
          <t>Truck</t>
        </is>
      </c>
      <c r="J42" s="26" t="n">
        <v>45748</v>
      </c>
      <c r="K42" s="26" t="n">
        <v>45746</v>
      </c>
      <c r="L42" s="6" t="n">
        <v>1</v>
      </c>
      <c r="M42" s="6" t="inlineStr">
        <is>
          <t>N</t>
        </is>
      </c>
      <c r="N42" s="6" t="inlineStr">
        <is>
          <t>Delivered</t>
        </is>
      </c>
      <c r="O42" s="6">
        <f>IF(K42="",0,K42-E42)</f>
        <v/>
      </c>
      <c r="P42" s="6">
        <f>IF(N42&lt;&gt;"Delivered","",IF(K42&lt;=J42,1,0))</f>
        <v/>
      </c>
      <c r="Q42" s="6">
        <f>IFERROR(INDEX(Raw_Suppliers!$C$2:$C$4,MATCH(B42,Raw_Suppliers!$A$2:$A$4,0)),"")</f>
        <v/>
      </c>
      <c r="R42" s="6">
        <f>Q42&amp;"|"&amp;D42</f>
        <v/>
      </c>
      <c r="S42" s="28">
        <f>IFERROR(INDEX(Raw_Tariff_Ref!$H$2:$H$10,MATCH(R42,Raw_Tariff_Ref!$I$2:$I$10,0)),0)</f>
        <v/>
      </c>
      <c r="T42" s="27">
        <f>IF(G42="","",G42*F42)</f>
        <v/>
      </c>
      <c r="U42" s="27">
        <f>IF(G42="","",G42*(1+S42))</f>
        <v/>
      </c>
      <c r="V42" s="27">
        <f>IF(U42="","",U42*F42)</f>
        <v/>
      </c>
      <c r="W42" s="6">
        <f>IF(COUNTIF($A$2:A42,A42)=1,1,0)</f>
        <v/>
      </c>
    </row>
    <row r="43">
      <c r="A43" s="6" t="inlineStr">
        <is>
          <t>PO-1310</t>
        </is>
      </c>
      <c r="B43" s="6" t="inlineStr">
        <is>
          <t>SUP-002</t>
        </is>
      </c>
      <c r="C43" s="6" t="inlineStr">
        <is>
          <t>GPU Servers</t>
        </is>
      </c>
      <c r="D43" s="6" t="n">
        <v>8471.5</v>
      </c>
      <c r="E43" s="26" t="n">
        <v>45739</v>
      </c>
      <c r="F43" s="6" t="n">
        <v>8</v>
      </c>
      <c r="G43" s="27" t="n">
        <v>16843.09</v>
      </c>
      <c r="H43" s="6" t="inlineStr">
        <is>
          <t>CIF</t>
        </is>
      </c>
      <c r="I43" s="6" t="inlineStr">
        <is>
          <t>Truck</t>
        </is>
      </c>
      <c r="J43" s="26" t="n">
        <v>45750</v>
      </c>
      <c r="K43" s="26" t="n">
        <v>45748</v>
      </c>
      <c r="L43" s="6" t="n">
        <v>1</v>
      </c>
      <c r="M43" s="6" t="inlineStr">
        <is>
          <t>N</t>
        </is>
      </c>
      <c r="N43" s="6" t="inlineStr">
        <is>
          <t>Delivered</t>
        </is>
      </c>
      <c r="O43" s="6">
        <f>IF(K43="",0,K43-E43)</f>
        <v/>
      </c>
      <c r="P43" s="6">
        <f>IF(N43&lt;&gt;"Delivered","",IF(K43&lt;=J43,1,0))</f>
        <v/>
      </c>
      <c r="Q43" s="6">
        <f>IFERROR(INDEX(Raw_Suppliers!$C$2:$C$4,MATCH(B43,Raw_Suppliers!$A$2:$A$4,0)),"")</f>
        <v/>
      </c>
      <c r="R43" s="6">
        <f>Q43&amp;"|"&amp;D43</f>
        <v/>
      </c>
      <c r="S43" s="28">
        <f>IFERROR(INDEX(Raw_Tariff_Ref!$H$2:$H$10,MATCH(R43,Raw_Tariff_Ref!$I$2:$I$10,0)),0)</f>
        <v/>
      </c>
      <c r="T43" s="27">
        <f>IF(G43="","",G43*F43)</f>
        <v/>
      </c>
      <c r="U43" s="27">
        <f>IF(G43="","",G43*(1+S43))</f>
        <v/>
      </c>
      <c r="V43" s="27">
        <f>IF(U43="","",U43*F43)</f>
        <v/>
      </c>
      <c r="W43" s="6">
        <f>IF(COUNTIF($A$2:A43,A43)=1,1,0)</f>
        <v/>
      </c>
    </row>
    <row r="44">
      <c r="A44" s="6" t="inlineStr">
        <is>
          <t>PO-1058</t>
        </is>
      </c>
      <c r="B44" s="6" t="inlineStr">
        <is>
          <t>SUP-003</t>
        </is>
      </c>
      <c r="C44" s="6" t="inlineStr">
        <is>
          <t>PDU / MEP Equipment</t>
        </is>
      </c>
      <c r="D44" s="6" t="n">
        <v>8537.1</v>
      </c>
      <c r="E44" s="26" t="n">
        <v>45740</v>
      </c>
      <c r="F44" s="6" t="n">
        <v>8</v>
      </c>
      <c r="G44" s="27" t="n">
        <v>1408.34</v>
      </c>
      <c r="H44" s="6" t="inlineStr">
        <is>
          <t>FOB</t>
        </is>
      </c>
      <c r="I44" s="6" t="inlineStr">
        <is>
          <t>Ocean</t>
        </is>
      </c>
      <c r="J44" s="26" t="n">
        <v>45776</v>
      </c>
      <c r="K44" s="26" t="n">
        <v>45776</v>
      </c>
      <c r="L44" s="6" t="n">
        <v>12</v>
      </c>
      <c r="M44" s="6" t="inlineStr">
        <is>
          <t>N</t>
        </is>
      </c>
      <c r="N44" s="6" t="inlineStr">
        <is>
          <t>Delivered</t>
        </is>
      </c>
      <c r="O44" s="6">
        <f>IF(K44="",0,K44-E44)</f>
        <v/>
      </c>
      <c r="P44" s="6">
        <f>IF(N44&lt;&gt;"Delivered","",IF(K44&lt;=J44,1,0))</f>
        <v/>
      </c>
      <c r="Q44" s="6">
        <f>IFERROR(INDEX(Raw_Suppliers!$C$2:$C$4,MATCH(B44,Raw_Suppliers!$A$2:$A$4,0)),"")</f>
        <v/>
      </c>
      <c r="R44" s="6">
        <f>Q44&amp;"|"&amp;D44</f>
        <v/>
      </c>
      <c r="S44" s="28">
        <f>IFERROR(INDEX(Raw_Tariff_Ref!$H$2:$H$10,MATCH(R44,Raw_Tariff_Ref!$I$2:$I$10,0)),0)</f>
        <v/>
      </c>
      <c r="T44" s="27">
        <f>IF(G44="","",G44*F44)</f>
        <v/>
      </c>
      <c r="U44" s="27">
        <f>IF(G44="","",G44*(1+S44))</f>
        <v/>
      </c>
      <c r="V44" s="27">
        <f>IF(U44="","",U44*F44)</f>
        <v/>
      </c>
      <c r="W44" s="6">
        <f>IF(COUNTIF($A$2:A44,A44)=1,1,0)</f>
        <v/>
      </c>
    </row>
    <row r="45">
      <c r="A45" s="6" t="inlineStr">
        <is>
          <t>PO-1130</t>
        </is>
      </c>
      <c r="B45" s="6" t="inlineStr">
        <is>
          <t>SUP-002</t>
        </is>
      </c>
      <c r="C45" s="6" t="inlineStr">
        <is>
          <t>Network Switches</t>
        </is>
      </c>
      <c r="D45" s="6" t="n">
        <v>8517.620000000001</v>
      </c>
      <c r="E45" s="26" t="n">
        <v>45741</v>
      </c>
      <c r="F45" s="6" t="n">
        <v>25</v>
      </c>
      <c r="G45" s="27" t="n">
        <v>4969.01</v>
      </c>
      <c r="H45" s="6" t="inlineStr">
        <is>
          <t>CIF</t>
        </is>
      </c>
      <c r="I45" s="6" t="inlineStr">
        <is>
          <t>Ocean</t>
        </is>
      </c>
      <c r="J45" s="26" t="n">
        <v>45762</v>
      </c>
      <c r="K45" s="26" t="n">
        <v>45760</v>
      </c>
      <c r="L45" s="6" t="n">
        <v>2</v>
      </c>
      <c r="M45" s="6" t="inlineStr">
        <is>
          <t>N</t>
        </is>
      </c>
      <c r="N45" s="6" t="inlineStr">
        <is>
          <t>Delivered</t>
        </is>
      </c>
      <c r="O45" s="6">
        <f>IF(K45="",0,K45-E45)</f>
        <v/>
      </c>
      <c r="P45" s="6">
        <f>IF(N45&lt;&gt;"Delivered","",IF(K45&lt;=J45,1,0))</f>
        <v/>
      </c>
      <c r="Q45" s="6">
        <f>IFERROR(INDEX(Raw_Suppliers!$C$2:$C$4,MATCH(B45,Raw_Suppliers!$A$2:$A$4,0)),"")</f>
        <v/>
      </c>
      <c r="R45" s="6">
        <f>Q45&amp;"|"&amp;D45</f>
        <v/>
      </c>
      <c r="S45" s="28">
        <f>IFERROR(INDEX(Raw_Tariff_Ref!$H$2:$H$10,MATCH(R45,Raw_Tariff_Ref!$I$2:$I$10,0)),0)</f>
        <v/>
      </c>
      <c r="T45" s="27">
        <f>IF(G45="","",G45*F45)</f>
        <v/>
      </c>
      <c r="U45" s="27">
        <f>IF(G45="","",G45*(1+S45))</f>
        <v/>
      </c>
      <c r="V45" s="27">
        <f>IF(U45="","",U45*F45)</f>
        <v/>
      </c>
      <c r="W45" s="6">
        <f>IF(COUNTIF($A$2:A45,A45)=1,1,0)</f>
        <v/>
      </c>
    </row>
    <row r="46">
      <c r="A46" s="6" t="inlineStr">
        <is>
          <t>PO-1236</t>
        </is>
      </c>
      <c r="B46" s="6" t="inlineStr">
        <is>
          <t>SUP-002</t>
        </is>
      </c>
      <c r="C46" s="6" t="inlineStr">
        <is>
          <t>GPU Servers</t>
        </is>
      </c>
      <c r="D46" s="6" t="n">
        <v>8471.5</v>
      </c>
      <c r="E46" s="26" t="n">
        <v>45741</v>
      </c>
      <c r="F46" s="6" t="n">
        <v>8</v>
      </c>
      <c r="G46" s="27" t="n">
        <v>18522.99</v>
      </c>
      <c r="H46" s="6" t="inlineStr">
        <is>
          <t>CIF</t>
        </is>
      </c>
      <c r="I46" s="6" t="inlineStr">
        <is>
          <t>Ocean</t>
        </is>
      </c>
      <c r="J46" s="26" t="n">
        <v>45758</v>
      </c>
      <c r="K46" s="26" t="n">
        <v>45758</v>
      </c>
      <c r="L46" s="6" t="n">
        <v>4</v>
      </c>
      <c r="M46" s="6" t="inlineStr">
        <is>
          <t>N</t>
        </is>
      </c>
      <c r="N46" s="6" t="inlineStr">
        <is>
          <t>Delivered</t>
        </is>
      </c>
      <c r="O46" s="6">
        <f>IF(K46="",0,K46-E46)</f>
        <v/>
      </c>
      <c r="P46" s="6">
        <f>IF(N46&lt;&gt;"Delivered","",IF(K46&lt;=J46,1,0))</f>
        <v/>
      </c>
      <c r="Q46" s="6">
        <f>IFERROR(INDEX(Raw_Suppliers!$C$2:$C$4,MATCH(B46,Raw_Suppliers!$A$2:$A$4,0)),"")</f>
        <v/>
      </c>
      <c r="R46" s="6">
        <f>Q46&amp;"|"&amp;D46</f>
        <v/>
      </c>
      <c r="S46" s="28">
        <f>IFERROR(INDEX(Raw_Tariff_Ref!$H$2:$H$10,MATCH(R46,Raw_Tariff_Ref!$I$2:$I$10,0)),0)</f>
        <v/>
      </c>
      <c r="T46" s="27">
        <f>IF(G46="","",G46*F46)</f>
        <v/>
      </c>
      <c r="U46" s="27">
        <f>IF(G46="","",G46*(1+S46))</f>
        <v/>
      </c>
      <c r="V46" s="27">
        <f>IF(U46="","",U46*F46)</f>
        <v/>
      </c>
      <c r="W46" s="6">
        <f>IF(COUNTIF($A$2:A46,A46)=1,1,0)</f>
        <v/>
      </c>
    </row>
    <row r="47">
      <c r="A47" s="6" t="inlineStr">
        <is>
          <t>PO-1232</t>
        </is>
      </c>
      <c r="B47" s="6" t="inlineStr">
        <is>
          <t>SUP-001</t>
        </is>
      </c>
      <c r="C47" s="6" t="inlineStr">
        <is>
          <t>PDU / MEP Equipment</t>
        </is>
      </c>
      <c r="D47" s="6" t="n">
        <v>8537.1</v>
      </c>
      <c r="E47" s="26" t="n">
        <v>45743</v>
      </c>
      <c r="F47" s="6" t="n">
        <v>20</v>
      </c>
      <c r="G47" s="27" t="n">
        <v>4075.82</v>
      </c>
      <c r="H47" s="6" t="inlineStr">
        <is>
          <t>FOB</t>
        </is>
      </c>
      <c r="I47" s="6" t="inlineStr">
        <is>
          <t>Air</t>
        </is>
      </c>
      <c r="J47" s="26" t="n">
        <v>45758</v>
      </c>
      <c r="K47" s="26" t="n">
        <v>45757</v>
      </c>
      <c r="L47" s="6" t="n">
        <v>0</v>
      </c>
      <c r="M47" s="6" t="inlineStr">
        <is>
          <t>N</t>
        </is>
      </c>
      <c r="N47" s="6" t="inlineStr">
        <is>
          <t>Delivered</t>
        </is>
      </c>
      <c r="O47" s="6">
        <f>IF(K47="",0,K47-E47)</f>
        <v/>
      </c>
      <c r="P47" s="6">
        <f>IF(N47&lt;&gt;"Delivered","",IF(K47&lt;=J47,1,0))</f>
        <v/>
      </c>
      <c r="Q47" s="6">
        <f>IFERROR(INDEX(Raw_Suppliers!$C$2:$C$4,MATCH(B47,Raw_Suppliers!$A$2:$A$4,0)),"")</f>
        <v/>
      </c>
      <c r="R47" s="6">
        <f>Q47&amp;"|"&amp;D47</f>
        <v/>
      </c>
      <c r="S47" s="28">
        <f>IFERROR(INDEX(Raw_Tariff_Ref!$H$2:$H$10,MATCH(R47,Raw_Tariff_Ref!$I$2:$I$10,0)),0)</f>
        <v/>
      </c>
      <c r="T47" s="27">
        <f>IF(G47="","",G47*F47)</f>
        <v/>
      </c>
      <c r="U47" s="27">
        <f>IF(G47="","",G47*(1+S47))</f>
        <v/>
      </c>
      <c r="V47" s="27">
        <f>IF(U47="","",U47*F47)</f>
        <v/>
      </c>
      <c r="W47" s="6">
        <f>IF(COUNTIF($A$2:A47,A47)=1,1,0)</f>
        <v/>
      </c>
    </row>
    <row r="48">
      <c r="A48" s="6" t="inlineStr">
        <is>
          <t>PO-1004</t>
        </is>
      </c>
      <c r="B48" s="6" t="inlineStr">
        <is>
          <t>SUP-003</t>
        </is>
      </c>
      <c r="C48" s="6" t="inlineStr">
        <is>
          <t>Network Switches</t>
        </is>
      </c>
      <c r="D48" s="6" t="n">
        <v>8517.620000000001</v>
      </c>
      <c r="E48" s="26" t="n">
        <v>45743</v>
      </c>
      <c r="F48" s="6" t="n">
        <v>40</v>
      </c>
      <c r="G48" s="27" t="n">
        <v>1930.88</v>
      </c>
      <c r="H48" s="6" t="inlineStr">
        <is>
          <t>FOB</t>
        </is>
      </c>
      <c r="I48" s="6" t="inlineStr">
        <is>
          <t>Ocean</t>
        </is>
      </c>
      <c r="J48" s="26" t="n">
        <v>45791</v>
      </c>
      <c r="K48" s="26" t="n">
        <v>45791</v>
      </c>
      <c r="L48" s="6" t="n">
        <v>4</v>
      </c>
      <c r="M48" s="6" t="inlineStr">
        <is>
          <t>N</t>
        </is>
      </c>
      <c r="N48" s="6" t="inlineStr">
        <is>
          <t>Delivered</t>
        </is>
      </c>
      <c r="O48" s="6">
        <f>IF(K48="",0,K48-E48)</f>
        <v/>
      </c>
      <c r="P48" s="6">
        <f>IF(N48&lt;&gt;"Delivered","",IF(K48&lt;=J48,1,0))</f>
        <v/>
      </c>
      <c r="Q48" s="6">
        <f>IFERROR(INDEX(Raw_Suppliers!$C$2:$C$4,MATCH(B48,Raw_Suppliers!$A$2:$A$4,0)),"")</f>
        <v/>
      </c>
      <c r="R48" s="6">
        <f>Q48&amp;"|"&amp;D48</f>
        <v/>
      </c>
      <c r="S48" s="28">
        <f>IFERROR(INDEX(Raw_Tariff_Ref!$H$2:$H$10,MATCH(R48,Raw_Tariff_Ref!$I$2:$I$10,0)),0)</f>
        <v/>
      </c>
      <c r="T48" s="27">
        <f>IF(G48="","",G48*F48)</f>
        <v/>
      </c>
      <c r="U48" s="27">
        <f>IF(G48="","",G48*(1+S48))</f>
        <v/>
      </c>
      <c r="V48" s="27">
        <f>IF(U48="","",U48*F48)</f>
        <v/>
      </c>
      <c r="W48" s="6">
        <f>IF(COUNTIF($A$2:A48,A48)=1,1,0)</f>
        <v/>
      </c>
    </row>
    <row r="49">
      <c r="A49" s="6" t="inlineStr">
        <is>
          <t>PO-1237</t>
        </is>
      </c>
      <c r="B49" s="6" t="inlineStr">
        <is>
          <t>SUP-003</t>
        </is>
      </c>
      <c r="C49" s="6" t="inlineStr">
        <is>
          <t>PDU / MEP Equipment</t>
        </is>
      </c>
      <c r="D49" s="6" t="n">
        <v>8537.1</v>
      </c>
      <c r="E49" s="26" t="n">
        <v>45743</v>
      </c>
      <c r="F49" s="6" t="n">
        <v>2</v>
      </c>
      <c r="G49" s="27" t="n">
        <v>1728.09</v>
      </c>
      <c r="H49" s="6" t="inlineStr">
        <is>
          <t>EXW</t>
        </is>
      </c>
      <c r="I49" s="6" t="inlineStr">
        <is>
          <t>Ocean</t>
        </is>
      </c>
      <c r="J49" s="26" t="n">
        <v>45788</v>
      </c>
      <c r="K49" s="26" t="n">
        <v>45787</v>
      </c>
      <c r="L49" s="6" t="n">
        <v>8</v>
      </c>
      <c r="M49" s="6" t="inlineStr">
        <is>
          <t>N</t>
        </is>
      </c>
      <c r="N49" s="6" t="inlineStr">
        <is>
          <t>Delivered</t>
        </is>
      </c>
      <c r="O49" s="6">
        <f>IF(K49="",0,K49-E49)</f>
        <v/>
      </c>
      <c r="P49" s="6">
        <f>IF(N49&lt;&gt;"Delivered","",IF(K49&lt;=J49,1,0))</f>
        <v/>
      </c>
      <c r="Q49" s="6">
        <f>IFERROR(INDEX(Raw_Suppliers!$C$2:$C$4,MATCH(B49,Raw_Suppliers!$A$2:$A$4,0)),"")</f>
        <v/>
      </c>
      <c r="R49" s="6">
        <f>Q49&amp;"|"&amp;D49</f>
        <v/>
      </c>
      <c r="S49" s="28">
        <f>IFERROR(INDEX(Raw_Tariff_Ref!$H$2:$H$10,MATCH(R49,Raw_Tariff_Ref!$I$2:$I$10,0)),0)</f>
        <v/>
      </c>
      <c r="T49" s="27">
        <f>IF(G49="","",G49*F49)</f>
        <v/>
      </c>
      <c r="U49" s="27">
        <f>IF(G49="","",G49*(1+S49))</f>
        <v/>
      </c>
      <c r="V49" s="27">
        <f>IF(U49="","",U49*F49)</f>
        <v/>
      </c>
      <c r="W49" s="6">
        <f>IF(COUNTIF($A$2:A49,A49)=1,1,0)</f>
        <v/>
      </c>
    </row>
    <row r="50">
      <c r="A50" s="6" t="inlineStr">
        <is>
          <t>PO-1123</t>
        </is>
      </c>
      <c r="B50" s="6" t="inlineStr">
        <is>
          <t>SUP-001</t>
        </is>
      </c>
      <c r="C50" s="6" t="inlineStr">
        <is>
          <t>GPU Servers</t>
        </is>
      </c>
      <c r="D50" s="6" t="n">
        <v>8471.5</v>
      </c>
      <c r="E50" s="26" t="n">
        <v>45746</v>
      </c>
      <c r="F50" s="6" t="n">
        <v>16</v>
      </c>
      <c r="G50" s="27" t="n">
        <v>22944.61</v>
      </c>
      <c r="H50" s="6" t="inlineStr">
        <is>
          <t>DDP</t>
        </is>
      </c>
      <c r="I50" s="6" t="inlineStr">
        <is>
          <t>Air</t>
        </is>
      </c>
      <c r="J50" s="26" t="n">
        <v>45754</v>
      </c>
      <c r="K50" s="26" t="n">
        <v>45754</v>
      </c>
      <c r="L50" s="6" t="n">
        <v>1</v>
      </c>
      <c r="M50" s="6" t="inlineStr">
        <is>
          <t>N</t>
        </is>
      </c>
      <c r="N50" s="6" t="inlineStr">
        <is>
          <t>Delivered</t>
        </is>
      </c>
      <c r="O50" s="6">
        <f>IF(K50="",0,K50-E50)</f>
        <v/>
      </c>
      <c r="P50" s="6">
        <f>IF(N50&lt;&gt;"Delivered","",IF(K50&lt;=J50,1,0))</f>
        <v/>
      </c>
      <c r="Q50" s="6">
        <f>IFERROR(INDEX(Raw_Suppliers!$C$2:$C$4,MATCH(B50,Raw_Suppliers!$A$2:$A$4,0)),"")</f>
        <v/>
      </c>
      <c r="R50" s="6">
        <f>Q50&amp;"|"&amp;D50</f>
        <v/>
      </c>
      <c r="S50" s="28">
        <f>IFERROR(INDEX(Raw_Tariff_Ref!$H$2:$H$10,MATCH(R50,Raw_Tariff_Ref!$I$2:$I$10,0)),0)</f>
        <v/>
      </c>
      <c r="T50" s="27">
        <f>IF(G50="","",G50*F50)</f>
        <v/>
      </c>
      <c r="U50" s="27">
        <f>IF(G50="","",G50*(1+S50))</f>
        <v/>
      </c>
      <c r="V50" s="27">
        <f>IF(U50="","",U50*F50)</f>
        <v/>
      </c>
      <c r="W50" s="6">
        <f>IF(COUNTIF($A$2:A50,A50)=1,1,0)</f>
        <v/>
      </c>
    </row>
    <row r="51">
      <c r="A51" s="6" t="inlineStr">
        <is>
          <t>PO-1332</t>
        </is>
      </c>
      <c r="B51" s="6" t="inlineStr">
        <is>
          <t>SUP-001</t>
        </is>
      </c>
      <c r="C51" s="6" t="inlineStr">
        <is>
          <t>PDU / MEP Equipment</t>
        </is>
      </c>
      <c r="D51" s="6" t="n">
        <v>8537.1</v>
      </c>
      <c r="E51" s="26" t="n">
        <v>45746</v>
      </c>
      <c r="F51" s="6" t="n">
        <v>10</v>
      </c>
      <c r="G51" s="27" t="n">
        <v>3079.09</v>
      </c>
      <c r="H51" s="6" t="inlineStr">
        <is>
          <t>DDP</t>
        </is>
      </c>
      <c r="I51" s="6" t="inlineStr">
        <is>
          <t>air</t>
        </is>
      </c>
      <c r="J51" s="26" t="n">
        <v>45751</v>
      </c>
      <c r="K51" s="26" t="n">
        <v>45749</v>
      </c>
      <c r="L51" s="6" t="n">
        <v>1</v>
      </c>
      <c r="M51" s="6" t="inlineStr">
        <is>
          <t>N</t>
        </is>
      </c>
      <c r="N51" s="6" t="inlineStr">
        <is>
          <t>Delivered</t>
        </is>
      </c>
      <c r="O51" s="6">
        <f>IF(K51="",0,K51-E51)</f>
        <v/>
      </c>
      <c r="P51" s="6">
        <f>IF(N51&lt;&gt;"Delivered","",IF(K51&lt;=J51,1,0))</f>
        <v/>
      </c>
      <c r="Q51" s="6">
        <f>IFERROR(INDEX(Raw_Suppliers!$C$2:$C$4,MATCH(B51,Raw_Suppliers!$A$2:$A$4,0)),"")</f>
        <v/>
      </c>
      <c r="R51" s="6">
        <f>Q51&amp;"|"&amp;D51</f>
        <v/>
      </c>
      <c r="S51" s="28">
        <f>IFERROR(INDEX(Raw_Tariff_Ref!$H$2:$H$10,MATCH(R51,Raw_Tariff_Ref!$I$2:$I$10,0)),0)</f>
        <v/>
      </c>
      <c r="T51" s="27">
        <f>IF(G51="","",G51*F51)</f>
        <v/>
      </c>
      <c r="U51" s="27">
        <f>IF(G51="","",G51*(1+S51))</f>
        <v/>
      </c>
      <c r="V51" s="27">
        <f>IF(U51="","",U51*F51)</f>
        <v/>
      </c>
      <c r="W51" s="6">
        <f>IF(COUNTIF($A$2:A51,A51)=1,1,0)</f>
        <v/>
      </c>
    </row>
    <row r="52">
      <c r="A52" s="6" t="inlineStr">
        <is>
          <t>PO-1146</t>
        </is>
      </c>
      <c r="B52" s="6" t="inlineStr">
        <is>
          <t>SUP-003</t>
        </is>
      </c>
      <c r="C52" s="6" t="inlineStr">
        <is>
          <t>Network Switches</t>
        </is>
      </c>
      <c r="D52" s="6" t="n">
        <v>8517.620000000001</v>
      </c>
      <c r="E52" s="26" t="n">
        <v>45748</v>
      </c>
      <c r="F52" s="6" t="n">
        <v>20</v>
      </c>
      <c r="G52" s="27" t="n">
        <v>2513.43</v>
      </c>
      <c r="H52" s="6" t="inlineStr">
        <is>
          <t>EXW</t>
        </is>
      </c>
      <c r="I52" s="6" t="inlineStr">
        <is>
          <t>Air</t>
        </is>
      </c>
      <c r="J52" s="26" t="n">
        <v>45786</v>
      </c>
      <c r="K52" s="26" t="n">
        <v>45805</v>
      </c>
      <c r="L52" s="6" t="n">
        <v>4</v>
      </c>
      <c r="M52" s="6" t="inlineStr">
        <is>
          <t>N</t>
        </is>
      </c>
      <c r="N52" s="6" t="inlineStr">
        <is>
          <t>Delivered</t>
        </is>
      </c>
      <c r="O52" s="6">
        <f>IF(K52="",0,K52-E52)</f>
        <v/>
      </c>
      <c r="P52" s="6">
        <f>IF(N52&lt;&gt;"Delivered","",IF(K52&lt;=J52,1,0))</f>
        <v/>
      </c>
      <c r="Q52" s="6">
        <f>IFERROR(INDEX(Raw_Suppliers!$C$2:$C$4,MATCH(B52,Raw_Suppliers!$A$2:$A$4,0)),"")</f>
        <v/>
      </c>
      <c r="R52" s="6">
        <f>Q52&amp;"|"&amp;D52</f>
        <v/>
      </c>
      <c r="S52" s="28">
        <f>IFERROR(INDEX(Raw_Tariff_Ref!$H$2:$H$10,MATCH(R52,Raw_Tariff_Ref!$I$2:$I$10,0)),0)</f>
        <v/>
      </c>
      <c r="T52" s="27">
        <f>IF(G52="","",G52*F52)</f>
        <v/>
      </c>
      <c r="U52" s="27">
        <f>IF(G52="","",G52*(1+S52))</f>
        <v/>
      </c>
      <c r="V52" s="27">
        <f>IF(U52="","",U52*F52)</f>
        <v/>
      </c>
      <c r="W52" s="6">
        <f>IF(COUNTIF($A$2:A52,A52)=1,1,0)</f>
        <v/>
      </c>
    </row>
    <row r="53">
      <c r="A53" s="6" t="inlineStr">
        <is>
          <t>PO-1136</t>
        </is>
      </c>
      <c r="B53" s="6" t="inlineStr">
        <is>
          <t>SUP-003</t>
        </is>
      </c>
      <c r="C53" s="6" t="inlineStr">
        <is>
          <t>Network Switches</t>
        </is>
      </c>
      <c r="D53" s="6" t="n">
        <v>8517.620000000001</v>
      </c>
      <c r="E53" s="26" t="n">
        <v>45749</v>
      </c>
      <c r="F53" s="6" t="n">
        <v>2</v>
      </c>
      <c r="G53" s="27" t="n">
        <v>2090.59</v>
      </c>
      <c r="H53" s="6" t="inlineStr">
        <is>
          <t>FOB</t>
        </is>
      </c>
      <c r="I53" s="6" t="inlineStr">
        <is>
          <t>Air</t>
        </is>
      </c>
      <c r="J53" s="26" t="n">
        <v>45778</v>
      </c>
      <c r="K53" s="26" t="n">
        <v>45776</v>
      </c>
      <c r="L53" s="6" t="n">
        <v>11</v>
      </c>
      <c r="M53" s="6" t="inlineStr">
        <is>
          <t>N</t>
        </is>
      </c>
      <c r="N53" s="6" t="inlineStr">
        <is>
          <t>Delivered</t>
        </is>
      </c>
      <c r="O53" s="6">
        <f>IF(K53="",0,K53-E53)</f>
        <v/>
      </c>
      <c r="P53" s="6">
        <f>IF(N53&lt;&gt;"Delivered","",IF(K53&lt;=J53,1,0))</f>
        <v/>
      </c>
      <c r="Q53" s="6">
        <f>IFERROR(INDEX(Raw_Suppliers!$C$2:$C$4,MATCH(B53,Raw_Suppliers!$A$2:$A$4,0)),"")</f>
        <v/>
      </c>
      <c r="R53" s="6">
        <f>Q53&amp;"|"&amp;D53</f>
        <v/>
      </c>
      <c r="S53" s="28">
        <f>IFERROR(INDEX(Raw_Tariff_Ref!$H$2:$H$10,MATCH(R53,Raw_Tariff_Ref!$I$2:$I$10,0)),0)</f>
        <v/>
      </c>
      <c r="T53" s="27">
        <f>IF(G53="","",G53*F53)</f>
        <v/>
      </c>
      <c r="U53" s="27">
        <f>IF(G53="","",G53*(1+S53))</f>
        <v/>
      </c>
      <c r="V53" s="27">
        <f>IF(U53="","",U53*F53)</f>
        <v/>
      </c>
      <c r="W53" s="6">
        <f>IF(COUNTIF($A$2:A53,A53)=1,1,0)</f>
        <v/>
      </c>
    </row>
    <row r="54">
      <c r="A54" s="6" t="inlineStr">
        <is>
          <t>PO-1251</t>
        </is>
      </c>
      <c r="B54" s="6" t="inlineStr">
        <is>
          <t>SUP-002</t>
        </is>
      </c>
      <c r="C54" s="6" t="inlineStr">
        <is>
          <t>GPU Servers</t>
        </is>
      </c>
      <c r="D54" s="6" t="n">
        <v>8471.5</v>
      </c>
      <c r="E54" s="26" t="n">
        <v>45750</v>
      </c>
      <c r="F54" s="6" t="n">
        <v>12</v>
      </c>
      <c r="G54" s="27" t="n"/>
      <c r="H54" s="6" t="inlineStr">
        <is>
          <t>FOB</t>
        </is>
      </c>
      <c r="I54" s="6" t="inlineStr">
        <is>
          <t>Ocean</t>
        </is>
      </c>
      <c r="J54" s="26" t="n">
        <v>45773</v>
      </c>
      <c r="K54" s="26" t="n">
        <v>45771</v>
      </c>
      <c r="L54" s="6" t="n">
        <v>3</v>
      </c>
      <c r="M54" s="6" t="inlineStr">
        <is>
          <t>N</t>
        </is>
      </c>
      <c r="N54" s="6" t="inlineStr">
        <is>
          <t>Delivered</t>
        </is>
      </c>
      <c r="O54" s="6">
        <f>IF(K54="",0,K54-E54)</f>
        <v/>
      </c>
      <c r="P54" s="6">
        <f>IF(N54&lt;&gt;"Delivered","",IF(K54&lt;=J54,1,0))</f>
        <v/>
      </c>
      <c r="Q54" s="6">
        <f>IFERROR(INDEX(Raw_Suppliers!$C$2:$C$4,MATCH(B54,Raw_Suppliers!$A$2:$A$4,0)),"")</f>
        <v/>
      </c>
      <c r="R54" s="6">
        <f>Q54&amp;"|"&amp;D54</f>
        <v/>
      </c>
      <c r="S54" s="28">
        <f>IFERROR(INDEX(Raw_Tariff_Ref!$H$2:$H$10,MATCH(R54,Raw_Tariff_Ref!$I$2:$I$10,0)),0)</f>
        <v/>
      </c>
      <c r="T54" s="27">
        <f>IF(G54="","",G54*F54)</f>
        <v/>
      </c>
      <c r="U54" s="27">
        <f>IF(G54="","",G54*(1+S54))</f>
        <v/>
      </c>
      <c r="V54" s="27">
        <f>IF(U54="","",U54*F54)</f>
        <v/>
      </c>
      <c r="W54" s="6">
        <f>IF(COUNTIF($A$2:A54,A54)=1,1,0)</f>
        <v/>
      </c>
    </row>
    <row r="55">
      <c r="A55" s="6" t="inlineStr">
        <is>
          <t>PO-1239</t>
        </is>
      </c>
      <c r="B55" s="6" t="inlineStr">
        <is>
          <t>SUP-001</t>
        </is>
      </c>
      <c r="C55" s="6" t="inlineStr">
        <is>
          <t>PDU / MEP Equipment</t>
        </is>
      </c>
      <c r="D55" s="6" t="n">
        <v>8537.1</v>
      </c>
      <c r="E55" s="26" t="n">
        <v>45750</v>
      </c>
      <c r="F55" s="6" t="n">
        <v>8</v>
      </c>
      <c r="G55" s="27" t="n">
        <v>3995.05</v>
      </c>
      <c r="H55" s="6" t="inlineStr">
        <is>
          <t>FOB</t>
        </is>
      </c>
      <c r="I55" s="6" t="inlineStr">
        <is>
          <t>Air</t>
        </is>
      </c>
      <c r="J55" s="26" t="n">
        <v>45762</v>
      </c>
      <c r="K55" s="26" t="n">
        <v>45761</v>
      </c>
      <c r="L55" s="6" t="n">
        <v>0</v>
      </c>
      <c r="M55" s="6" t="inlineStr">
        <is>
          <t>N</t>
        </is>
      </c>
      <c r="N55" s="6" t="inlineStr">
        <is>
          <t>Delivered</t>
        </is>
      </c>
      <c r="O55" s="6">
        <f>IF(K55="",0,K55-E55)</f>
        <v/>
      </c>
      <c r="P55" s="6">
        <f>IF(N55&lt;&gt;"Delivered","",IF(K55&lt;=J55,1,0))</f>
        <v/>
      </c>
      <c r="Q55" s="6">
        <f>IFERROR(INDEX(Raw_Suppliers!$C$2:$C$4,MATCH(B55,Raw_Suppliers!$A$2:$A$4,0)),"")</f>
        <v/>
      </c>
      <c r="R55" s="6">
        <f>Q55&amp;"|"&amp;D55</f>
        <v/>
      </c>
      <c r="S55" s="28">
        <f>IFERROR(INDEX(Raw_Tariff_Ref!$H$2:$H$10,MATCH(R55,Raw_Tariff_Ref!$I$2:$I$10,0)),0)</f>
        <v/>
      </c>
      <c r="T55" s="27">
        <f>IF(G55="","",G55*F55)</f>
        <v/>
      </c>
      <c r="U55" s="27">
        <f>IF(G55="","",G55*(1+S55))</f>
        <v/>
      </c>
      <c r="V55" s="27">
        <f>IF(U55="","",U55*F55)</f>
        <v/>
      </c>
      <c r="W55" s="6">
        <f>IF(COUNTIF($A$2:A55,A55)=1,1,0)</f>
        <v/>
      </c>
    </row>
    <row r="56">
      <c r="A56" s="6" t="inlineStr">
        <is>
          <t>PO-1063</t>
        </is>
      </c>
      <c r="B56" s="6" t="inlineStr">
        <is>
          <t>SUP-002</t>
        </is>
      </c>
      <c r="C56" s="6" t="inlineStr">
        <is>
          <t>Network Switches</t>
        </is>
      </c>
      <c r="D56" s="6" t="n">
        <v>8517.620000000001</v>
      </c>
      <c r="E56" s="26" t="n">
        <v>45750</v>
      </c>
      <c r="F56" s="6" t="n">
        <v>20</v>
      </c>
      <c r="G56" s="27" t="n">
        <v>4576.34</v>
      </c>
      <c r="H56" s="6" t="inlineStr">
        <is>
          <t>FOB</t>
        </is>
      </c>
      <c r="I56" s="6" t="inlineStr">
        <is>
          <t>Ocean</t>
        </is>
      </c>
      <c r="J56" s="26" t="n">
        <v>45769</v>
      </c>
      <c r="K56" s="26" t="n">
        <v>45768</v>
      </c>
      <c r="L56" s="6" t="n">
        <v>4</v>
      </c>
      <c r="M56" s="6" t="inlineStr">
        <is>
          <t>N</t>
        </is>
      </c>
      <c r="N56" s="6" t="inlineStr">
        <is>
          <t>Delivered</t>
        </is>
      </c>
      <c r="O56" s="6">
        <f>IF(K56="",0,K56-E56)</f>
        <v/>
      </c>
      <c r="P56" s="6">
        <f>IF(N56&lt;&gt;"Delivered","",IF(K56&lt;=J56,1,0))</f>
        <v/>
      </c>
      <c r="Q56" s="6">
        <f>IFERROR(INDEX(Raw_Suppliers!$C$2:$C$4,MATCH(B56,Raw_Suppliers!$A$2:$A$4,0)),"")</f>
        <v/>
      </c>
      <c r="R56" s="6">
        <f>Q56&amp;"|"&amp;D56</f>
        <v/>
      </c>
      <c r="S56" s="28">
        <f>IFERROR(INDEX(Raw_Tariff_Ref!$H$2:$H$10,MATCH(R56,Raw_Tariff_Ref!$I$2:$I$10,0)),0)</f>
        <v/>
      </c>
      <c r="T56" s="27">
        <f>IF(G56="","",G56*F56)</f>
        <v/>
      </c>
      <c r="U56" s="27">
        <f>IF(G56="","",G56*(1+S56))</f>
        <v/>
      </c>
      <c r="V56" s="27">
        <f>IF(U56="","",U56*F56)</f>
        <v/>
      </c>
      <c r="W56" s="6">
        <f>IF(COUNTIF($A$2:A56,A56)=1,1,0)</f>
        <v/>
      </c>
    </row>
    <row r="57">
      <c r="A57" s="6" t="inlineStr">
        <is>
          <t>PO-1014</t>
        </is>
      </c>
      <c r="B57" s="6" t="inlineStr">
        <is>
          <t>SUP-001</t>
        </is>
      </c>
      <c r="C57" s="6" t="inlineStr">
        <is>
          <t>GPU Servers</t>
        </is>
      </c>
      <c r="D57" s="6" t="n">
        <v>8471.5</v>
      </c>
      <c r="E57" s="26" t="n">
        <v>45750</v>
      </c>
      <c r="F57" s="6" t="n">
        <v>25</v>
      </c>
      <c r="G57" s="27" t="n">
        <v>22145.27</v>
      </c>
      <c r="H57" s="6" t="inlineStr">
        <is>
          <t>FOB</t>
        </is>
      </c>
      <c r="I57" s="6" t="inlineStr">
        <is>
          <t>Air</t>
        </is>
      </c>
      <c r="J57" s="26" t="n">
        <v>45760</v>
      </c>
      <c r="K57" s="26" t="n">
        <v>45758</v>
      </c>
      <c r="L57" s="6" t="n">
        <v>0</v>
      </c>
      <c r="M57" s="6" t="inlineStr">
        <is>
          <t>N</t>
        </is>
      </c>
      <c r="N57" s="6" t="inlineStr">
        <is>
          <t>Delivered</t>
        </is>
      </c>
      <c r="O57" s="6">
        <f>IF(K57="",0,K57-E57)</f>
        <v/>
      </c>
      <c r="P57" s="6">
        <f>IF(N57&lt;&gt;"Delivered","",IF(K57&lt;=J57,1,0))</f>
        <v/>
      </c>
      <c r="Q57" s="6">
        <f>IFERROR(INDEX(Raw_Suppliers!$C$2:$C$4,MATCH(B57,Raw_Suppliers!$A$2:$A$4,0)),"")</f>
        <v/>
      </c>
      <c r="R57" s="6">
        <f>Q57&amp;"|"&amp;D57</f>
        <v/>
      </c>
      <c r="S57" s="28">
        <f>IFERROR(INDEX(Raw_Tariff_Ref!$H$2:$H$10,MATCH(R57,Raw_Tariff_Ref!$I$2:$I$10,0)),0)</f>
        <v/>
      </c>
      <c r="T57" s="27">
        <f>IF(G57="","",G57*F57)</f>
        <v/>
      </c>
      <c r="U57" s="27">
        <f>IF(G57="","",G57*(1+S57))</f>
        <v/>
      </c>
      <c r="V57" s="27">
        <f>IF(U57="","",U57*F57)</f>
        <v/>
      </c>
      <c r="W57" s="6">
        <f>IF(COUNTIF($A$2:A57,A57)=1,1,0)</f>
        <v/>
      </c>
    </row>
    <row r="58">
      <c r="A58" s="6" t="inlineStr">
        <is>
          <t>PO-1331</t>
        </is>
      </c>
      <c r="B58" s="6" t="inlineStr">
        <is>
          <t>SUP-002</t>
        </is>
      </c>
      <c r="C58" s="6" t="inlineStr">
        <is>
          <t>GPU Servers</t>
        </is>
      </c>
      <c r="D58" s="6" t="n">
        <v>8471.5</v>
      </c>
      <c r="E58" s="26" t="n">
        <v>45752</v>
      </c>
      <c r="F58" s="6" t="n">
        <v>40</v>
      </c>
      <c r="G58" s="27" t="n">
        <v>20772.96</v>
      </c>
      <c r="H58" s="6" t="inlineStr">
        <is>
          <t>FOB</t>
        </is>
      </c>
      <c r="I58" s="6" t="inlineStr">
        <is>
          <t>Truck</t>
        </is>
      </c>
      <c r="J58" s="26" t="n">
        <v>45768</v>
      </c>
      <c r="K58" s="26" t="n">
        <v>45768</v>
      </c>
      <c r="L58" s="6" t="n">
        <v>2</v>
      </c>
      <c r="M58" s="6" t="inlineStr">
        <is>
          <t>N</t>
        </is>
      </c>
      <c r="N58" s="6" t="inlineStr">
        <is>
          <t>Delivered</t>
        </is>
      </c>
      <c r="O58" s="6">
        <f>IF(K58="",0,K58-E58)</f>
        <v/>
      </c>
      <c r="P58" s="6">
        <f>IF(N58&lt;&gt;"Delivered","",IF(K58&lt;=J58,1,0))</f>
        <v/>
      </c>
      <c r="Q58" s="6">
        <f>IFERROR(INDEX(Raw_Suppliers!$C$2:$C$4,MATCH(B58,Raw_Suppliers!$A$2:$A$4,0)),"")</f>
        <v/>
      </c>
      <c r="R58" s="6">
        <f>Q58&amp;"|"&amp;D58</f>
        <v/>
      </c>
      <c r="S58" s="28">
        <f>IFERROR(INDEX(Raw_Tariff_Ref!$H$2:$H$10,MATCH(R58,Raw_Tariff_Ref!$I$2:$I$10,0)),0)</f>
        <v/>
      </c>
      <c r="T58" s="27">
        <f>IF(G58="","",G58*F58)</f>
        <v/>
      </c>
      <c r="U58" s="27">
        <f>IF(G58="","",G58*(1+S58))</f>
        <v/>
      </c>
      <c r="V58" s="27">
        <f>IF(U58="","",U58*F58)</f>
        <v/>
      </c>
      <c r="W58" s="6">
        <f>IF(COUNTIF($A$2:A58,A58)=1,1,0)</f>
        <v/>
      </c>
    </row>
    <row r="59">
      <c r="A59" s="6" t="inlineStr">
        <is>
          <t>PO-1134</t>
        </is>
      </c>
      <c r="B59" s="6" t="inlineStr">
        <is>
          <t>SUP-003</t>
        </is>
      </c>
      <c r="C59" s="6" t="inlineStr">
        <is>
          <t>PDU / MEP Equipment</t>
        </is>
      </c>
      <c r="D59" s="6" t="n">
        <v>8537.1</v>
      </c>
      <c r="E59" s="26" t="n">
        <v>45755</v>
      </c>
      <c r="F59" s="6" t="n">
        <v>16</v>
      </c>
      <c r="G59" s="27" t="n">
        <v>1743.85</v>
      </c>
      <c r="H59" s="6" t="inlineStr">
        <is>
          <t>CIF</t>
        </is>
      </c>
      <c r="I59" s="6" t="inlineStr">
        <is>
          <t>Ocean</t>
        </is>
      </c>
      <c r="J59" s="26" t="n">
        <v>45809</v>
      </c>
      <c r="K59" s="26" t="n">
        <v>45809</v>
      </c>
      <c r="L59" s="6" t="n">
        <v>10</v>
      </c>
      <c r="M59" s="6" t="inlineStr">
        <is>
          <t>N</t>
        </is>
      </c>
      <c r="N59" s="6" t="inlineStr">
        <is>
          <t>Delivered</t>
        </is>
      </c>
      <c r="O59" s="6">
        <f>IF(K59="",0,K59-E59)</f>
        <v/>
      </c>
      <c r="P59" s="6">
        <f>IF(N59&lt;&gt;"Delivered","",IF(K59&lt;=J59,1,0))</f>
        <v/>
      </c>
      <c r="Q59" s="6">
        <f>IFERROR(INDEX(Raw_Suppliers!$C$2:$C$4,MATCH(B59,Raw_Suppliers!$A$2:$A$4,0)),"")</f>
        <v/>
      </c>
      <c r="R59" s="6">
        <f>Q59&amp;"|"&amp;D59</f>
        <v/>
      </c>
      <c r="S59" s="28">
        <f>IFERROR(INDEX(Raw_Tariff_Ref!$H$2:$H$10,MATCH(R59,Raw_Tariff_Ref!$I$2:$I$10,0)),0)</f>
        <v/>
      </c>
      <c r="T59" s="27">
        <f>IF(G59="","",G59*F59)</f>
        <v/>
      </c>
      <c r="U59" s="27">
        <f>IF(G59="","",G59*(1+S59))</f>
        <v/>
      </c>
      <c r="V59" s="27">
        <f>IF(U59="","",U59*F59)</f>
        <v/>
      </c>
      <c r="W59" s="6">
        <f>IF(COUNTIF($A$2:A59,A59)=1,1,0)</f>
        <v/>
      </c>
    </row>
    <row r="60">
      <c r="A60" s="6" t="inlineStr">
        <is>
          <t>PO-1090</t>
        </is>
      </c>
      <c r="B60" s="6" t="inlineStr">
        <is>
          <t>SUP-003</t>
        </is>
      </c>
      <c r="C60" s="6" t="inlineStr">
        <is>
          <t>GPU Servers</t>
        </is>
      </c>
      <c r="D60" s="6" t="n">
        <v>8471.5</v>
      </c>
      <c r="E60" s="26" t="n">
        <v>45755</v>
      </c>
      <c r="F60" s="6" t="n">
        <v>4</v>
      </c>
      <c r="G60" s="27" t="n">
        <v>17058.01</v>
      </c>
      <c r="H60" s="6" t="inlineStr">
        <is>
          <t>CIF</t>
        </is>
      </c>
      <c r="I60" s="6" t="inlineStr">
        <is>
          <t>Air</t>
        </is>
      </c>
      <c r="J60" s="26" t="n">
        <v>45793</v>
      </c>
      <c r="K60" s="26" t="n">
        <v>45791</v>
      </c>
      <c r="L60" s="6" t="n">
        <v>3</v>
      </c>
      <c r="M60" s="6" t="inlineStr">
        <is>
          <t>N</t>
        </is>
      </c>
      <c r="N60" s="6" t="inlineStr">
        <is>
          <t>Delivered</t>
        </is>
      </c>
      <c r="O60" s="6">
        <f>IF(K60="",0,K60-E60)</f>
        <v/>
      </c>
      <c r="P60" s="6">
        <f>IF(N60&lt;&gt;"Delivered","",IF(K60&lt;=J60,1,0))</f>
        <v/>
      </c>
      <c r="Q60" s="6">
        <f>IFERROR(INDEX(Raw_Suppliers!$C$2:$C$4,MATCH(B60,Raw_Suppliers!$A$2:$A$4,0)),"")</f>
        <v/>
      </c>
      <c r="R60" s="6">
        <f>Q60&amp;"|"&amp;D60</f>
        <v/>
      </c>
      <c r="S60" s="28">
        <f>IFERROR(INDEX(Raw_Tariff_Ref!$H$2:$H$10,MATCH(R60,Raw_Tariff_Ref!$I$2:$I$10,0)),0)</f>
        <v/>
      </c>
      <c r="T60" s="27">
        <f>IF(G60="","",G60*F60)</f>
        <v/>
      </c>
      <c r="U60" s="27">
        <f>IF(G60="","",G60*(1+S60))</f>
        <v/>
      </c>
      <c r="V60" s="27">
        <f>IF(U60="","",U60*F60)</f>
        <v/>
      </c>
      <c r="W60" s="6">
        <f>IF(COUNTIF($A$2:A60,A60)=1,1,0)</f>
        <v/>
      </c>
    </row>
    <row r="61">
      <c r="A61" s="6" t="inlineStr">
        <is>
          <t>PO-1082</t>
        </is>
      </c>
      <c r="B61" s="6" t="inlineStr">
        <is>
          <t>SUP-002</t>
        </is>
      </c>
      <c r="C61" s="6" t="inlineStr">
        <is>
          <t>GPU Servers</t>
        </is>
      </c>
      <c r="D61" s="6" t="n">
        <v>8471.5</v>
      </c>
      <c r="E61" s="26" t="n">
        <v>45758</v>
      </c>
      <c r="F61" s="6" t="n">
        <v>20</v>
      </c>
      <c r="G61" s="27" t="n">
        <v>21378.28</v>
      </c>
      <c r="H61" s="6" t="inlineStr">
        <is>
          <t>FOB</t>
        </is>
      </c>
      <c r="I61" s="6" t="inlineStr">
        <is>
          <t>Ocean</t>
        </is>
      </c>
      <c r="J61" s="26" t="n">
        <v>45772</v>
      </c>
      <c r="K61" s="26" t="n">
        <v>45770</v>
      </c>
      <c r="L61" s="6" t="n">
        <v>3</v>
      </c>
      <c r="M61" s="6" t="inlineStr">
        <is>
          <t>N</t>
        </is>
      </c>
      <c r="N61" s="6" t="inlineStr">
        <is>
          <t>Delivered</t>
        </is>
      </c>
      <c r="O61" s="6">
        <f>IF(K61="",0,K61-E61)</f>
        <v/>
      </c>
      <c r="P61" s="6">
        <f>IF(N61&lt;&gt;"Delivered","",IF(K61&lt;=J61,1,0))</f>
        <v/>
      </c>
      <c r="Q61" s="6">
        <f>IFERROR(INDEX(Raw_Suppliers!$C$2:$C$4,MATCH(B61,Raw_Suppliers!$A$2:$A$4,0)),"")</f>
        <v/>
      </c>
      <c r="R61" s="6">
        <f>Q61&amp;"|"&amp;D61</f>
        <v/>
      </c>
      <c r="S61" s="28">
        <f>IFERROR(INDEX(Raw_Tariff_Ref!$H$2:$H$10,MATCH(R61,Raw_Tariff_Ref!$I$2:$I$10,0)),0)</f>
        <v/>
      </c>
      <c r="T61" s="27">
        <f>IF(G61="","",G61*F61)</f>
        <v/>
      </c>
      <c r="U61" s="27">
        <f>IF(G61="","",G61*(1+S61))</f>
        <v/>
      </c>
      <c r="V61" s="27">
        <f>IF(U61="","",U61*F61)</f>
        <v/>
      </c>
      <c r="W61" s="6">
        <f>IF(COUNTIF($A$2:A61,A61)=1,1,0)</f>
        <v/>
      </c>
    </row>
    <row r="62">
      <c r="A62" s="6" t="inlineStr">
        <is>
          <t>PO-1140</t>
        </is>
      </c>
      <c r="B62" s="6" t="inlineStr">
        <is>
          <t>SUP-003</t>
        </is>
      </c>
      <c r="C62" s="6" t="inlineStr">
        <is>
          <t>GPU Servers</t>
        </is>
      </c>
      <c r="D62" s="6" t="n">
        <v>8471.5</v>
      </c>
      <c r="E62" s="26" t="n">
        <v>45758</v>
      </c>
      <c r="F62" s="6" t="n">
        <v>25</v>
      </c>
      <c r="G62" s="27" t="n">
        <v>15395.05</v>
      </c>
      <c r="H62" s="6" t="inlineStr">
        <is>
          <t>FOB</t>
        </is>
      </c>
      <c r="I62" s="6" t="inlineStr">
        <is>
          <t>Air</t>
        </is>
      </c>
      <c r="J62" s="26" t="n">
        <v>45792</v>
      </c>
      <c r="K62" s="26" t="n">
        <v>45791</v>
      </c>
      <c r="L62" s="6" t="n">
        <v>5</v>
      </c>
      <c r="M62" s="6" t="inlineStr">
        <is>
          <t>N</t>
        </is>
      </c>
      <c r="N62" s="6" t="inlineStr">
        <is>
          <t>Delivered</t>
        </is>
      </c>
      <c r="O62" s="6">
        <f>IF(K62="",0,K62-E62)</f>
        <v/>
      </c>
      <c r="P62" s="6">
        <f>IF(N62&lt;&gt;"Delivered","",IF(K62&lt;=J62,1,0))</f>
        <v/>
      </c>
      <c r="Q62" s="6">
        <f>IFERROR(INDEX(Raw_Suppliers!$C$2:$C$4,MATCH(B62,Raw_Suppliers!$A$2:$A$4,0)),"")</f>
        <v/>
      </c>
      <c r="R62" s="6">
        <f>Q62&amp;"|"&amp;D62</f>
        <v/>
      </c>
      <c r="S62" s="28">
        <f>IFERROR(INDEX(Raw_Tariff_Ref!$H$2:$H$10,MATCH(R62,Raw_Tariff_Ref!$I$2:$I$10,0)),0)</f>
        <v/>
      </c>
      <c r="T62" s="27">
        <f>IF(G62="","",G62*F62)</f>
        <v/>
      </c>
      <c r="U62" s="27">
        <f>IF(G62="","",G62*(1+S62))</f>
        <v/>
      </c>
      <c r="V62" s="27">
        <f>IF(U62="","",U62*F62)</f>
        <v/>
      </c>
      <c r="W62" s="6">
        <f>IF(COUNTIF($A$2:A62,A62)=1,1,0)</f>
        <v/>
      </c>
    </row>
    <row r="63">
      <c r="A63" s="6" t="inlineStr">
        <is>
          <t>PO-1064</t>
        </is>
      </c>
      <c r="B63" s="6" t="inlineStr">
        <is>
          <t>SUP-002</t>
        </is>
      </c>
      <c r="C63" s="6" t="inlineStr">
        <is>
          <t>Network Switches</t>
        </is>
      </c>
      <c r="D63" s="6" t="n">
        <v>8517.620000000001</v>
      </c>
      <c r="E63" s="26" t="n">
        <v>45758</v>
      </c>
      <c r="F63" s="6" t="n">
        <v>8</v>
      </c>
      <c r="G63" s="27" t="n">
        <v>5121.14</v>
      </c>
      <c r="H63" s="6" t="inlineStr">
        <is>
          <t>CIF</t>
        </is>
      </c>
      <c r="I63" s="6" t="inlineStr">
        <is>
          <t>Ocean</t>
        </is>
      </c>
      <c r="J63" s="26" t="n">
        <v>45777</v>
      </c>
      <c r="K63" s="26" t="n">
        <v>45776</v>
      </c>
      <c r="L63" s="6" t="n">
        <v>3</v>
      </c>
      <c r="M63" s="6" t="inlineStr">
        <is>
          <t>N</t>
        </is>
      </c>
      <c r="N63" s="6" t="inlineStr">
        <is>
          <t>Delivered</t>
        </is>
      </c>
      <c r="O63" s="6">
        <f>IF(K63="",0,K63-E63)</f>
        <v/>
      </c>
      <c r="P63" s="6">
        <f>IF(N63&lt;&gt;"Delivered","",IF(K63&lt;=J63,1,0))</f>
        <v/>
      </c>
      <c r="Q63" s="6">
        <f>IFERROR(INDEX(Raw_Suppliers!$C$2:$C$4,MATCH(B63,Raw_Suppliers!$A$2:$A$4,0)),"")</f>
        <v/>
      </c>
      <c r="R63" s="6">
        <f>Q63&amp;"|"&amp;D63</f>
        <v/>
      </c>
      <c r="S63" s="28">
        <f>IFERROR(INDEX(Raw_Tariff_Ref!$H$2:$H$10,MATCH(R63,Raw_Tariff_Ref!$I$2:$I$10,0)),0)</f>
        <v/>
      </c>
      <c r="T63" s="27">
        <f>IF(G63="","",G63*F63)</f>
        <v/>
      </c>
      <c r="U63" s="27">
        <f>IF(G63="","",G63*(1+S63))</f>
        <v/>
      </c>
      <c r="V63" s="27">
        <f>IF(U63="","",U63*F63)</f>
        <v/>
      </c>
      <c r="W63" s="6">
        <f>IF(COUNTIF($A$2:A63,A63)=1,1,0)</f>
        <v/>
      </c>
    </row>
    <row r="64">
      <c r="A64" s="6" t="inlineStr">
        <is>
          <t>PO-1117</t>
        </is>
      </c>
      <c r="B64" s="6" t="inlineStr">
        <is>
          <t>SUP-001</t>
        </is>
      </c>
      <c r="C64" s="6" t="inlineStr">
        <is>
          <t>GPU Servers</t>
        </is>
      </c>
      <c r="D64" s="6" t="n">
        <v>8471.5</v>
      </c>
      <c r="E64" s="26" t="n">
        <v>45758</v>
      </c>
      <c r="F64" s="6" t="n">
        <v>12</v>
      </c>
      <c r="G64" s="27" t="n">
        <v>20401.53</v>
      </c>
      <c r="H64" s="6" t="inlineStr">
        <is>
          <t>FOB</t>
        </is>
      </c>
      <c r="I64" s="6" t="inlineStr">
        <is>
          <t>Air</t>
        </is>
      </c>
      <c r="J64" s="26" t="n">
        <v>45765</v>
      </c>
      <c r="K64" s="26" t="n">
        <v>45765</v>
      </c>
      <c r="L64" s="6" t="n">
        <v>0</v>
      </c>
      <c r="M64" s="6" t="inlineStr">
        <is>
          <t>N</t>
        </is>
      </c>
      <c r="N64" s="6" t="inlineStr">
        <is>
          <t>Delivered</t>
        </is>
      </c>
      <c r="O64" s="6">
        <f>IF(K64="",0,K64-E64)</f>
        <v/>
      </c>
      <c r="P64" s="6">
        <f>IF(N64&lt;&gt;"Delivered","",IF(K64&lt;=J64,1,0))</f>
        <v/>
      </c>
      <c r="Q64" s="6">
        <f>IFERROR(INDEX(Raw_Suppliers!$C$2:$C$4,MATCH(B64,Raw_Suppliers!$A$2:$A$4,0)),"")</f>
        <v/>
      </c>
      <c r="R64" s="6">
        <f>Q64&amp;"|"&amp;D64</f>
        <v/>
      </c>
      <c r="S64" s="28">
        <f>IFERROR(INDEX(Raw_Tariff_Ref!$H$2:$H$10,MATCH(R64,Raw_Tariff_Ref!$I$2:$I$10,0)),0)</f>
        <v/>
      </c>
      <c r="T64" s="27">
        <f>IF(G64="","",G64*F64)</f>
        <v/>
      </c>
      <c r="U64" s="27">
        <f>IF(G64="","",G64*(1+S64))</f>
        <v/>
      </c>
      <c r="V64" s="27">
        <f>IF(U64="","",U64*F64)</f>
        <v/>
      </c>
      <c r="W64" s="6">
        <f>IF(COUNTIF($A$2:A64,A64)=1,1,0)</f>
        <v/>
      </c>
    </row>
    <row r="65">
      <c r="A65" s="6" t="inlineStr">
        <is>
          <t>PO-1242</t>
        </is>
      </c>
      <c r="B65" s="6" t="inlineStr">
        <is>
          <t>SUP-001</t>
        </is>
      </c>
      <c r="C65" s="6" t="inlineStr">
        <is>
          <t>PDU / MEP Equipment</t>
        </is>
      </c>
      <c r="D65" s="6" t="n">
        <v>8537.1</v>
      </c>
      <c r="E65" s="26" t="n">
        <v>45758</v>
      </c>
      <c r="F65" s="6" t="n">
        <v>16</v>
      </c>
      <c r="G65" s="27" t="n">
        <v>2634.42</v>
      </c>
      <c r="H65" s="6" t="inlineStr">
        <is>
          <t>DDP</t>
        </is>
      </c>
      <c r="I65" s="6" t="inlineStr">
        <is>
          <t>Air</t>
        </is>
      </c>
      <c r="J65" s="26" t="n">
        <v>45770</v>
      </c>
      <c r="K65" s="26" t="n">
        <v>45769</v>
      </c>
      <c r="L65" s="6" t="n">
        <v>0</v>
      </c>
      <c r="M65" s="6" t="inlineStr">
        <is>
          <t>Y</t>
        </is>
      </c>
      <c r="N65" s="6" t="inlineStr">
        <is>
          <t>Delivered</t>
        </is>
      </c>
      <c r="O65" s="6">
        <f>IF(K65="",0,K65-E65)</f>
        <v/>
      </c>
      <c r="P65" s="6">
        <f>IF(N65&lt;&gt;"Delivered","",IF(K65&lt;=J65,1,0))</f>
        <v/>
      </c>
      <c r="Q65" s="6">
        <f>IFERROR(INDEX(Raw_Suppliers!$C$2:$C$4,MATCH(B65,Raw_Suppliers!$A$2:$A$4,0)),"")</f>
        <v/>
      </c>
      <c r="R65" s="6">
        <f>Q65&amp;"|"&amp;D65</f>
        <v/>
      </c>
      <c r="S65" s="28">
        <f>IFERROR(INDEX(Raw_Tariff_Ref!$H$2:$H$10,MATCH(R65,Raw_Tariff_Ref!$I$2:$I$10,0)),0)</f>
        <v/>
      </c>
      <c r="T65" s="27">
        <f>IF(G65="","",G65*F65)</f>
        <v/>
      </c>
      <c r="U65" s="27">
        <f>IF(G65="","",G65*(1+S65))</f>
        <v/>
      </c>
      <c r="V65" s="27">
        <f>IF(U65="","",U65*F65)</f>
        <v/>
      </c>
      <c r="W65" s="6">
        <f>IF(COUNTIF($A$2:A65,A65)=1,1,0)</f>
        <v/>
      </c>
    </row>
    <row r="66">
      <c r="A66" s="6" t="inlineStr">
        <is>
          <t>PO-1001</t>
        </is>
      </c>
      <c r="B66" s="6" t="inlineStr">
        <is>
          <t>SUP-002</t>
        </is>
      </c>
      <c r="C66" s="6" t="inlineStr">
        <is>
          <t>Network Switches</t>
        </is>
      </c>
      <c r="D66" s="6" t="n">
        <v>8517.620000000001</v>
      </c>
      <c r="E66" s="26" t="n">
        <v>45758</v>
      </c>
      <c r="F66" s="6" t="n">
        <v>40</v>
      </c>
      <c r="G66" s="27" t="n">
        <v>4357.18</v>
      </c>
      <c r="H66" s="6" t="inlineStr">
        <is>
          <t>FOB</t>
        </is>
      </c>
      <c r="I66" s="6" t="inlineStr">
        <is>
          <t>Ocean</t>
        </is>
      </c>
      <c r="J66" s="26" t="n">
        <v>45775</v>
      </c>
      <c r="K66" s="26" t="n">
        <v>45775</v>
      </c>
      <c r="L66" s="6" t="n">
        <v>2</v>
      </c>
      <c r="M66" s="6" t="inlineStr">
        <is>
          <t>Y</t>
        </is>
      </c>
      <c r="N66" s="6" t="inlineStr">
        <is>
          <t>Delivered</t>
        </is>
      </c>
      <c r="O66" s="6">
        <f>IF(K66="",0,K66-E66)</f>
        <v/>
      </c>
      <c r="P66" s="6">
        <f>IF(N66&lt;&gt;"Delivered","",IF(K66&lt;=J66,1,0))</f>
        <v/>
      </c>
      <c r="Q66" s="6">
        <f>IFERROR(INDEX(Raw_Suppliers!$C$2:$C$4,MATCH(B66,Raw_Suppliers!$A$2:$A$4,0)),"")</f>
        <v/>
      </c>
      <c r="R66" s="6">
        <f>Q66&amp;"|"&amp;D66</f>
        <v/>
      </c>
      <c r="S66" s="28">
        <f>IFERROR(INDEX(Raw_Tariff_Ref!$H$2:$H$10,MATCH(R66,Raw_Tariff_Ref!$I$2:$I$10,0)),0)</f>
        <v/>
      </c>
      <c r="T66" s="27">
        <f>IF(G66="","",G66*F66)</f>
        <v/>
      </c>
      <c r="U66" s="27">
        <f>IF(G66="","",G66*(1+S66))</f>
        <v/>
      </c>
      <c r="V66" s="27">
        <f>IF(U66="","",U66*F66)</f>
        <v/>
      </c>
      <c r="W66" s="6">
        <f>IF(COUNTIF($A$2:A66,A66)=1,1,0)</f>
        <v/>
      </c>
    </row>
    <row r="67">
      <c r="A67" s="6" t="inlineStr">
        <is>
          <t>PO-1043</t>
        </is>
      </c>
      <c r="B67" s="6" t="inlineStr">
        <is>
          <t>SUP-002</t>
        </is>
      </c>
      <c r="C67" s="6" t="inlineStr">
        <is>
          <t>GPU Servers</t>
        </is>
      </c>
      <c r="D67" s="6" t="n">
        <v>8471.5</v>
      </c>
      <c r="E67" s="26" t="n">
        <v>45758</v>
      </c>
      <c r="F67" s="6" t="n">
        <v>10</v>
      </c>
      <c r="G67" s="27" t="n">
        <v>19343.15</v>
      </c>
      <c r="H67" s="6" t="inlineStr">
        <is>
          <t>FOB</t>
        </is>
      </c>
      <c r="I67" s="6" t="inlineStr">
        <is>
          <t>Truck</t>
        </is>
      </c>
      <c r="J67" s="26" t="n">
        <v>45773</v>
      </c>
      <c r="K67" s="26" t="n">
        <v>45771</v>
      </c>
      <c r="L67" s="6" t="n">
        <v>1</v>
      </c>
      <c r="M67" s="6" t="inlineStr">
        <is>
          <t>N</t>
        </is>
      </c>
      <c r="N67" s="6" t="inlineStr">
        <is>
          <t>Delivered</t>
        </is>
      </c>
      <c r="O67" s="6">
        <f>IF(K67="",0,K67-E67)</f>
        <v/>
      </c>
      <c r="P67" s="6">
        <f>IF(N67&lt;&gt;"Delivered","",IF(K67&lt;=J67,1,0))</f>
        <v/>
      </c>
      <c r="Q67" s="6">
        <f>IFERROR(INDEX(Raw_Suppliers!$C$2:$C$4,MATCH(B67,Raw_Suppliers!$A$2:$A$4,0)),"")</f>
        <v/>
      </c>
      <c r="R67" s="6">
        <f>Q67&amp;"|"&amp;D67</f>
        <v/>
      </c>
      <c r="S67" s="28">
        <f>IFERROR(INDEX(Raw_Tariff_Ref!$H$2:$H$10,MATCH(R67,Raw_Tariff_Ref!$I$2:$I$10,0)),0)</f>
        <v/>
      </c>
      <c r="T67" s="27">
        <f>IF(G67="","",G67*F67)</f>
        <v/>
      </c>
      <c r="U67" s="27">
        <f>IF(G67="","",G67*(1+S67))</f>
        <v/>
      </c>
      <c r="V67" s="27">
        <f>IF(U67="","",U67*F67)</f>
        <v/>
      </c>
      <c r="W67" s="6">
        <f>IF(COUNTIF($A$2:A67,A67)=1,1,0)</f>
        <v/>
      </c>
    </row>
    <row r="68">
      <c r="A68" s="6" t="inlineStr">
        <is>
          <t>PO-1021</t>
        </is>
      </c>
      <c r="B68" s="6" t="inlineStr">
        <is>
          <t>SUP-001</t>
        </is>
      </c>
      <c r="C68" s="6" t="inlineStr">
        <is>
          <t>GPU Servers</t>
        </is>
      </c>
      <c r="D68" s="6" t="n">
        <v>8471.5</v>
      </c>
      <c r="E68" s="26" t="n">
        <v>45758</v>
      </c>
      <c r="F68" s="6" t="n">
        <v>5</v>
      </c>
      <c r="G68" s="27" t="n">
        <v>21620.41</v>
      </c>
      <c r="H68" s="6" t="inlineStr">
        <is>
          <t>DDP</t>
        </is>
      </c>
      <c r="I68" s="6" t="inlineStr">
        <is>
          <t>Truck</t>
        </is>
      </c>
      <c r="J68" s="26" t="n">
        <v>45766</v>
      </c>
      <c r="K68" s="26" t="n">
        <v>45774</v>
      </c>
      <c r="L68" s="6" t="n">
        <v>1</v>
      </c>
      <c r="M68" s="6" t="inlineStr">
        <is>
          <t>N</t>
        </is>
      </c>
      <c r="N68" s="6" t="inlineStr">
        <is>
          <t>Delivered</t>
        </is>
      </c>
      <c r="O68" s="6">
        <f>IF(K68="",0,K68-E68)</f>
        <v/>
      </c>
      <c r="P68" s="6">
        <f>IF(N68&lt;&gt;"Delivered","",IF(K68&lt;=J68,1,0))</f>
        <v/>
      </c>
      <c r="Q68" s="6">
        <f>IFERROR(INDEX(Raw_Suppliers!$C$2:$C$4,MATCH(B68,Raw_Suppliers!$A$2:$A$4,0)),"")</f>
        <v/>
      </c>
      <c r="R68" s="6">
        <f>Q68&amp;"|"&amp;D68</f>
        <v/>
      </c>
      <c r="S68" s="28">
        <f>IFERROR(INDEX(Raw_Tariff_Ref!$H$2:$H$10,MATCH(R68,Raw_Tariff_Ref!$I$2:$I$10,0)),0)</f>
        <v/>
      </c>
      <c r="T68" s="27">
        <f>IF(G68="","",G68*F68)</f>
        <v/>
      </c>
      <c r="U68" s="27">
        <f>IF(G68="","",G68*(1+S68))</f>
        <v/>
      </c>
      <c r="V68" s="27">
        <f>IF(U68="","",U68*F68)</f>
        <v/>
      </c>
      <c r="W68" s="6">
        <f>IF(COUNTIF($A$2:A68,A68)=1,1,0)</f>
        <v/>
      </c>
    </row>
    <row r="69">
      <c r="A69" s="6" t="inlineStr">
        <is>
          <t>PO-1003</t>
        </is>
      </c>
      <c r="B69" s="6" t="inlineStr">
        <is>
          <t>SUP-001</t>
        </is>
      </c>
      <c r="C69" s="6" t="inlineStr">
        <is>
          <t>PDU / MEP Equipment</t>
        </is>
      </c>
      <c r="D69" s="6" t="n">
        <v>8537.1</v>
      </c>
      <c r="E69" s="26" t="n">
        <v>45762</v>
      </c>
      <c r="F69" s="6" t="n">
        <v>40</v>
      </c>
      <c r="G69" s="27" t="n">
        <v>3845.73</v>
      </c>
      <c r="H69" s="6" t="inlineStr">
        <is>
          <t>FOB</t>
        </is>
      </c>
      <c r="I69" s="6" t="inlineStr">
        <is>
          <t>Air</t>
        </is>
      </c>
      <c r="J69" s="26" t="n">
        <v>45773</v>
      </c>
      <c r="K69" s="26" t="n">
        <v>45772</v>
      </c>
      <c r="L69" s="6" t="n">
        <v>0</v>
      </c>
      <c r="M69" s="6" t="inlineStr">
        <is>
          <t>N</t>
        </is>
      </c>
      <c r="N69" s="6" t="inlineStr">
        <is>
          <t>Delivered</t>
        </is>
      </c>
      <c r="O69" s="6">
        <f>IF(K69="",0,K69-E69)</f>
        <v/>
      </c>
      <c r="P69" s="6">
        <f>IF(N69&lt;&gt;"Delivered","",IF(K69&lt;=J69,1,0))</f>
        <v/>
      </c>
      <c r="Q69" s="6">
        <f>IFERROR(INDEX(Raw_Suppliers!$C$2:$C$4,MATCH(B69,Raw_Suppliers!$A$2:$A$4,0)),"")</f>
        <v/>
      </c>
      <c r="R69" s="6">
        <f>Q69&amp;"|"&amp;D69</f>
        <v/>
      </c>
      <c r="S69" s="28">
        <f>IFERROR(INDEX(Raw_Tariff_Ref!$H$2:$H$10,MATCH(R69,Raw_Tariff_Ref!$I$2:$I$10,0)),0)</f>
        <v/>
      </c>
      <c r="T69" s="27">
        <f>IF(G69="","",G69*F69)</f>
        <v/>
      </c>
      <c r="U69" s="27">
        <f>IF(G69="","",G69*(1+S69))</f>
        <v/>
      </c>
      <c r="V69" s="27">
        <f>IF(U69="","",U69*F69)</f>
        <v/>
      </c>
      <c r="W69" s="6">
        <f>IF(COUNTIF($A$2:A69,A69)=1,1,0)</f>
        <v/>
      </c>
    </row>
    <row r="70">
      <c r="A70" s="6" t="inlineStr">
        <is>
          <t>PO-1282</t>
        </is>
      </c>
      <c r="B70" s="6" t="inlineStr">
        <is>
          <t>SUP-003</t>
        </is>
      </c>
      <c r="C70" s="6" t="inlineStr">
        <is>
          <t>PDU / MEP Equipment</t>
        </is>
      </c>
      <c r="D70" s="6" t="n">
        <v>8537.1</v>
      </c>
      <c r="E70" s="26" t="n">
        <v>45765</v>
      </c>
      <c r="F70" s="6" t="n">
        <v>40</v>
      </c>
      <c r="G70" s="27" t="n">
        <v>2039.14</v>
      </c>
      <c r="H70" s="6" t="inlineStr">
        <is>
          <t>FOB</t>
        </is>
      </c>
      <c r="I70" s="6" t="inlineStr">
        <is>
          <t>Air</t>
        </is>
      </c>
      <c r="J70" s="26" t="n">
        <v>45797</v>
      </c>
      <c r="K70" s="26" t="n">
        <v>45795</v>
      </c>
      <c r="L70" s="6" t="n">
        <v>8</v>
      </c>
      <c r="M70" s="6" t="inlineStr">
        <is>
          <t>N</t>
        </is>
      </c>
      <c r="N70" s="6" t="inlineStr">
        <is>
          <t>Delivered</t>
        </is>
      </c>
      <c r="O70" s="6">
        <f>IF(K70="",0,K70-E70)</f>
        <v/>
      </c>
      <c r="P70" s="6">
        <f>IF(N70&lt;&gt;"Delivered","",IF(K70&lt;=J70,1,0))</f>
        <v/>
      </c>
      <c r="Q70" s="6">
        <f>IFERROR(INDEX(Raw_Suppliers!$C$2:$C$4,MATCH(B70,Raw_Suppliers!$A$2:$A$4,0)),"")</f>
        <v/>
      </c>
      <c r="R70" s="6">
        <f>Q70&amp;"|"&amp;D70</f>
        <v/>
      </c>
      <c r="S70" s="28">
        <f>IFERROR(INDEX(Raw_Tariff_Ref!$H$2:$H$10,MATCH(R70,Raw_Tariff_Ref!$I$2:$I$10,0)),0)</f>
        <v/>
      </c>
      <c r="T70" s="27">
        <f>IF(G70="","",G70*F70)</f>
        <v/>
      </c>
      <c r="U70" s="27">
        <f>IF(G70="","",G70*(1+S70))</f>
        <v/>
      </c>
      <c r="V70" s="27">
        <f>IF(U70="","",U70*F70)</f>
        <v/>
      </c>
      <c r="W70" s="6">
        <f>IF(COUNTIF($A$2:A70,A70)=1,1,0)</f>
        <v/>
      </c>
    </row>
    <row r="71">
      <c r="A71" s="6" t="inlineStr">
        <is>
          <t>PO-1280</t>
        </is>
      </c>
      <c r="B71" s="6" t="inlineStr">
        <is>
          <t>SUP-003</t>
        </is>
      </c>
      <c r="C71" s="6" t="inlineStr">
        <is>
          <t>PDU / MEP Equipment</t>
        </is>
      </c>
      <c r="D71" s="6" t="n">
        <v>8537.1</v>
      </c>
      <c r="E71" s="26" t="n">
        <v>45768</v>
      </c>
      <c r="F71" s="6" t="n">
        <v>5</v>
      </c>
      <c r="G71" s="27" t="n">
        <v>2014.01</v>
      </c>
      <c r="H71" s="6" t="inlineStr">
        <is>
          <t>EXW</t>
        </is>
      </c>
      <c r="I71" s="6" t="inlineStr">
        <is>
          <t>Ocean</t>
        </is>
      </c>
      <c r="J71" s="26" t="n">
        <v>45807</v>
      </c>
      <c r="K71" s="26" t="n">
        <v>45806</v>
      </c>
      <c r="L71" s="6" t="n">
        <v>4</v>
      </c>
      <c r="M71" s="6" t="inlineStr">
        <is>
          <t>N</t>
        </is>
      </c>
      <c r="N71" s="6" t="inlineStr">
        <is>
          <t>Delivered</t>
        </is>
      </c>
      <c r="O71" s="6">
        <f>IF(K71="",0,K71-E71)</f>
        <v/>
      </c>
      <c r="P71" s="6">
        <f>IF(N71&lt;&gt;"Delivered","",IF(K71&lt;=J71,1,0))</f>
        <v/>
      </c>
      <c r="Q71" s="6">
        <f>IFERROR(INDEX(Raw_Suppliers!$C$2:$C$4,MATCH(B71,Raw_Suppliers!$A$2:$A$4,0)),"")</f>
        <v/>
      </c>
      <c r="R71" s="6">
        <f>Q71&amp;"|"&amp;D71</f>
        <v/>
      </c>
      <c r="S71" s="28">
        <f>IFERROR(INDEX(Raw_Tariff_Ref!$H$2:$H$10,MATCH(R71,Raw_Tariff_Ref!$I$2:$I$10,0)),0)</f>
        <v/>
      </c>
      <c r="T71" s="27">
        <f>IF(G71="","",G71*F71)</f>
        <v/>
      </c>
      <c r="U71" s="27">
        <f>IF(G71="","",G71*(1+S71))</f>
        <v/>
      </c>
      <c r="V71" s="27">
        <f>IF(U71="","",U71*F71)</f>
        <v/>
      </c>
      <c r="W71" s="6">
        <f>IF(COUNTIF($A$2:A71,A71)=1,1,0)</f>
        <v/>
      </c>
    </row>
    <row r="72">
      <c r="A72" s="6" t="inlineStr">
        <is>
          <t>PO-1252</t>
        </is>
      </c>
      <c r="B72" s="6" t="inlineStr">
        <is>
          <t>SUP-003</t>
        </is>
      </c>
      <c r="C72" s="6" t="inlineStr">
        <is>
          <t>Network Switches</t>
        </is>
      </c>
      <c r="D72" s="6" t="n">
        <v>8517.620000000001</v>
      </c>
      <c r="E72" s="26" t="n">
        <v>45771</v>
      </c>
      <c r="F72" s="6" t="n">
        <v>8</v>
      </c>
      <c r="G72" s="27" t="n">
        <v>2488.37</v>
      </c>
      <c r="H72" s="6" t="inlineStr">
        <is>
          <t>CIF</t>
        </is>
      </c>
      <c r="I72" s="6" t="inlineStr">
        <is>
          <t>Ocean</t>
        </is>
      </c>
      <c r="J72" s="26" t="n">
        <v>45814</v>
      </c>
      <c r="K72" s="26" t="n">
        <v>45813</v>
      </c>
      <c r="L72" s="6" t="n">
        <v>10</v>
      </c>
      <c r="M72" s="6" t="inlineStr">
        <is>
          <t>N</t>
        </is>
      </c>
      <c r="N72" s="6" t="inlineStr">
        <is>
          <t>Delivered</t>
        </is>
      </c>
      <c r="O72" s="6">
        <f>IF(K72="",0,K72-E72)</f>
        <v/>
      </c>
      <c r="P72" s="6">
        <f>IF(N72&lt;&gt;"Delivered","",IF(K72&lt;=J72,1,0))</f>
        <v/>
      </c>
      <c r="Q72" s="6">
        <f>IFERROR(INDEX(Raw_Suppliers!$C$2:$C$4,MATCH(B72,Raw_Suppliers!$A$2:$A$4,0)),"")</f>
        <v/>
      </c>
      <c r="R72" s="6">
        <f>Q72&amp;"|"&amp;D72</f>
        <v/>
      </c>
      <c r="S72" s="28">
        <f>IFERROR(INDEX(Raw_Tariff_Ref!$H$2:$H$10,MATCH(R72,Raw_Tariff_Ref!$I$2:$I$10,0)),0)</f>
        <v/>
      </c>
      <c r="T72" s="27">
        <f>IF(G72="","",G72*F72)</f>
        <v/>
      </c>
      <c r="U72" s="27">
        <f>IF(G72="","",G72*(1+S72))</f>
        <v/>
      </c>
      <c r="V72" s="27">
        <f>IF(U72="","",U72*F72)</f>
        <v/>
      </c>
      <c r="W72" s="6">
        <f>IF(COUNTIF($A$2:A72,A72)=1,1,0)</f>
        <v/>
      </c>
    </row>
    <row r="73">
      <c r="A73" s="6" t="inlineStr">
        <is>
          <t>PO-1231</t>
        </is>
      </c>
      <c r="B73" s="6" t="inlineStr">
        <is>
          <t>SUP-003</t>
        </is>
      </c>
      <c r="C73" s="6" t="inlineStr">
        <is>
          <t>PDU / MEP Equipment</t>
        </is>
      </c>
      <c r="D73" s="6" t="n">
        <v>8537.1</v>
      </c>
      <c r="E73" s="26" t="n">
        <v>45772</v>
      </c>
      <c r="F73" s="6" t="n">
        <v>5</v>
      </c>
      <c r="G73" s="27" t="n">
        <v>2439.28</v>
      </c>
      <c r="H73" s="6" t="inlineStr">
        <is>
          <t>CIF</t>
        </is>
      </c>
      <c r="I73" s="6" t="inlineStr">
        <is>
          <t>Air</t>
        </is>
      </c>
      <c r="J73" s="26" t="n">
        <v>45822</v>
      </c>
      <c r="K73" s="26" t="n">
        <v>45857</v>
      </c>
      <c r="L73" s="6" t="n">
        <v>8</v>
      </c>
      <c r="M73" s="6" t="inlineStr">
        <is>
          <t>N</t>
        </is>
      </c>
      <c r="N73" s="6" t="inlineStr">
        <is>
          <t>Delivered</t>
        </is>
      </c>
      <c r="O73" s="6">
        <f>IF(K73="",0,K73-E73)</f>
        <v/>
      </c>
      <c r="P73" s="6">
        <f>IF(N73&lt;&gt;"Delivered","",IF(K73&lt;=J73,1,0))</f>
        <v/>
      </c>
      <c r="Q73" s="6">
        <f>IFERROR(INDEX(Raw_Suppliers!$C$2:$C$4,MATCH(B73,Raw_Suppliers!$A$2:$A$4,0)),"")</f>
        <v/>
      </c>
      <c r="R73" s="6">
        <f>Q73&amp;"|"&amp;D73</f>
        <v/>
      </c>
      <c r="S73" s="28">
        <f>IFERROR(INDEX(Raw_Tariff_Ref!$H$2:$H$10,MATCH(R73,Raw_Tariff_Ref!$I$2:$I$10,0)),0)</f>
        <v/>
      </c>
      <c r="T73" s="27">
        <f>IF(G73="","",G73*F73)</f>
        <v/>
      </c>
      <c r="U73" s="27">
        <f>IF(G73="","",G73*(1+S73))</f>
        <v/>
      </c>
      <c r="V73" s="27">
        <f>IF(U73="","",U73*F73)</f>
        <v/>
      </c>
      <c r="W73" s="6">
        <f>IF(COUNTIF($A$2:A73,A73)=1,1,0)</f>
        <v/>
      </c>
    </row>
    <row r="74">
      <c r="A74" s="6" t="inlineStr">
        <is>
          <t>PO-1045</t>
        </is>
      </c>
      <c r="B74" s="6" t="inlineStr">
        <is>
          <t>SUP-001</t>
        </is>
      </c>
      <c r="C74" s="6" t="inlineStr">
        <is>
          <t>GPU Servers</t>
        </is>
      </c>
      <c r="D74" s="6" t="n">
        <v>8471.5</v>
      </c>
      <c r="E74" s="26" t="n">
        <v>45772</v>
      </c>
      <c r="F74" s="6" t="n">
        <v>5</v>
      </c>
      <c r="G74" s="27" t="n">
        <v>21065.25</v>
      </c>
      <c r="H74" s="6" t="inlineStr">
        <is>
          <t>DDP</t>
        </is>
      </c>
      <c r="I74" s="6" t="inlineStr">
        <is>
          <t>Truck</t>
        </is>
      </c>
      <c r="J74" s="26" t="n">
        <v>45788</v>
      </c>
      <c r="K74" s="26" t="n">
        <v>45786</v>
      </c>
      <c r="L74" s="6" t="n">
        <v>0</v>
      </c>
      <c r="M74" s="6" t="inlineStr">
        <is>
          <t>N</t>
        </is>
      </c>
      <c r="N74" s="6" t="inlineStr">
        <is>
          <t>Delivered</t>
        </is>
      </c>
      <c r="O74" s="6">
        <f>IF(K74="",0,K74-E74)</f>
        <v/>
      </c>
      <c r="P74" s="6">
        <f>IF(N74&lt;&gt;"Delivered","",IF(K74&lt;=J74,1,0))</f>
        <v/>
      </c>
      <c r="Q74" s="6">
        <f>IFERROR(INDEX(Raw_Suppliers!$C$2:$C$4,MATCH(B74,Raw_Suppliers!$A$2:$A$4,0)),"")</f>
        <v/>
      </c>
      <c r="R74" s="6">
        <f>Q74&amp;"|"&amp;D74</f>
        <v/>
      </c>
      <c r="S74" s="28">
        <f>IFERROR(INDEX(Raw_Tariff_Ref!$H$2:$H$10,MATCH(R74,Raw_Tariff_Ref!$I$2:$I$10,0)),0)</f>
        <v/>
      </c>
      <c r="T74" s="27">
        <f>IF(G74="","",G74*F74)</f>
        <v/>
      </c>
      <c r="U74" s="27">
        <f>IF(G74="","",G74*(1+S74))</f>
        <v/>
      </c>
      <c r="V74" s="27">
        <f>IF(U74="","",U74*F74)</f>
        <v/>
      </c>
      <c r="W74" s="6">
        <f>IF(COUNTIF($A$2:A74,A74)=1,1,0)</f>
        <v/>
      </c>
    </row>
    <row r="75">
      <c r="A75" s="6" t="inlineStr">
        <is>
          <t>PO-1305</t>
        </is>
      </c>
      <c r="B75" s="6" t="inlineStr">
        <is>
          <t>SUP-003</t>
        </is>
      </c>
      <c r="C75" s="6" t="inlineStr">
        <is>
          <t>PDU / MEP Equipment</t>
        </is>
      </c>
      <c r="D75" s="6" t="n">
        <v>8537.1</v>
      </c>
      <c r="E75" s="26" t="n">
        <v>45774</v>
      </c>
      <c r="F75" s="6" t="n">
        <v>20</v>
      </c>
      <c r="G75" s="27" t="n">
        <v>2202.37</v>
      </c>
      <c r="H75" s="6" t="inlineStr">
        <is>
          <t>FOB</t>
        </is>
      </c>
      <c r="I75" s="6" t="inlineStr">
        <is>
          <t>Ocean</t>
        </is>
      </c>
      <c r="J75" s="26" t="n">
        <v>45814</v>
      </c>
      <c r="K75" s="26" t="n">
        <v>45812</v>
      </c>
      <c r="L75" s="6" t="n">
        <v>11</v>
      </c>
      <c r="M75" s="6" t="inlineStr">
        <is>
          <t>N</t>
        </is>
      </c>
      <c r="N75" s="6" t="inlineStr">
        <is>
          <t>Delivered</t>
        </is>
      </c>
      <c r="O75" s="6">
        <f>IF(K75="",0,K75-E75)</f>
        <v/>
      </c>
      <c r="P75" s="6">
        <f>IF(N75&lt;&gt;"Delivered","",IF(K75&lt;=J75,1,0))</f>
        <v/>
      </c>
      <c r="Q75" s="6">
        <f>IFERROR(INDEX(Raw_Suppliers!$C$2:$C$4,MATCH(B75,Raw_Suppliers!$A$2:$A$4,0)),"")</f>
        <v/>
      </c>
      <c r="R75" s="6">
        <f>Q75&amp;"|"&amp;D75</f>
        <v/>
      </c>
      <c r="S75" s="28">
        <f>IFERROR(INDEX(Raw_Tariff_Ref!$H$2:$H$10,MATCH(R75,Raw_Tariff_Ref!$I$2:$I$10,0)),0)</f>
        <v/>
      </c>
      <c r="T75" s="27">
        <f>IF(G75="","",G75*F75)</f>
        <v/>
      </c>
      <c r="U75" s="27">
        <f>IF(G75="","",G75*(1+S75))</f>
        <v/>
      </c>
      <c r="V75" s="27">
        <f>IF(U75="","",U75*F75)</f>
        <v/>
      </c>
      <c r="W75" s="6">
        <f>IF(COUNTIF($A$2:A75,A75)=1,1,0)</f>
        <v/>
      </c>
    </row>
    <row r="76">
      <c r="A76" s="6" t="inlineStr">
        <is>
          <t>PO-1011</t>
        </is>
      </c>
      <c r="B76" s="6" t="inlineStr">
        <is>
          <t>SUP-003</t>
        </is>
      </c>
      <c r="C76" s="6" t="inlineStr">
        <is>
          <t>PDU / MEP Equipment</t>
        </is>
      </c>
      <c r="D76" s="6" t="n">
        <v>8537.1</v>
      </c>
      <c r="E76" s="26" t="n">
        <v>45780</v>
      </c>
      <c r="F76" s="6" t="n">
        <v>10</v>
      </c>
      <c r="G76" s="27" t="n">
        <v>1839.63</v>
      </c>
      <c r="H76" s="6" t="inlineStr">
        <is>
          <t>FOB</t>
        </is>
      </c>
      <c r="I76" s="6" t="inlineStr">
        <is>
          <t>Ocean</t>
        </is>
      </c>
      <c r="J76" s="26" t="n">
        <v>45816</v>
      </c>
      <c r="K76" s="26" t="n">
        <v>45852</v>
      </c>
      <c r="L76" s="6" t="n">
        <v>7</v>
      </c>
      <c r="M76" s="6" t="inlineStr">
        <is>
          <t>N</t>
        </is>
      </c>
      <c r="N76" s="6" t="inlineStr">
        <is>
          <t>Delivered</t>
        </is>
      </c>
      <c r="O76" s="6">
        <f>IF(K76="",0,K76-E76)</f>
        <v/>
      </c>
      <c r="P76" s="6">
        <f>IF(N76&lt;&gt;"Delivered","",IF(K76&lt;=J76,1,0))</f>
        <v/>
      </c>
      <c r="Q76" s="6">
        <f>IFERROR(INDEX(Raw_Suppliers!$C$2:$C$4,MATCH(B76,Raw_Suppliers!$A$2:$A$4,0)),"")</f>
        <v/>
      </c>
      <c r="R76" s="6">
        <f>Q76&amp;"|"&amp;D76</f>
        <v/>
      </c>
      <c r="S76" s="28">
        <f>IFERROR(INDEX(Raw_Tariff_Ref!$H$2:$H$10,MATCH(R76,Raw_Tariff_Ref!$I$2:$I$10,0)),0)</f>
        <v/>
      </c>
      <c r="T76" s="27">
        <f>IF(G76="","",G76*F76)</f>
        <v/>
      </c>
      <c r="U76" s="27">
        <f>IF(G76="","",G76*(1+S76))</f>
        <v/>
      </c>
      <c r="V76" s="27">
        <f>IF(U76="","",U76*F76)</f>
        <v/>
      </c>
      <c r="W76" s="6">
        <f>IF(COUNTIF($A$2:A76,A76)=1,1,0)</f>
        <v/>
      </c>
    </row>
    <row r="77">
      <c r="A77" s="6" t="inlineStr">
        <is>
          <t>PO-1207</t>
        </is>
      </c>
      <c r="B77" s="6" t="inlineStr">
        <is>
          <t>SUP-003</t>
        </is>
      </c>
      <c r="C77" s="6" t="inlineStr">
        <is>
          <t>Network Switches</t>
        </is>
      </c>
      <c r="D77" s="6" t="n">
        <v>8517.620000000001</v>
      </c>
      <c r="E77" s="26" t="n">
        <v>45782</v>
      </c>
      <c r="F77" s="6" t="n">
        <v>4</v>
      </c>
      <c r="G77" s="27" t="n">
        <v>2737.61</v>
      </c>
      <c r="H77" s="6" t="inlineStr">
        <is>
          <t>FOB</t>
        </is>
      </c>
      <c r="I77" s="6" t="inlineStr">
        <is>
          <t>Ocean</t>
        </is>
      </c>
      <c r="J77" s="26" t="n">
        <v>45814</v>
      </c>
      <c r="K77" s="26" t="n">
        <v>45847</v>
      </c>
      <c r="L77" s="6" t="n">
        <v>10</v>
      </c>
      <c r="M77" s="6" t="inlineStr">
        <is>
          <t>N</t>
        </is>
      </c>
      <c r="N77" s="6" t="inlineStr">
        <is>
          <t>Delivered</t>
        </is>
      </c>
      <c r="O77" s="6">
        <f>IF(K77="",0,K77-E77)</f>
        <v/>
      </c>
      <c r="P77" s="6">
        <f>IF(N77&lt;&gt;"Delivered","",IF(K77&lt;=J77,1,0))</f>
        <v/>
      </c>
      <c r="Q77" s="6">
        <f>IFERROR(INDEX(Raw_Suppliers!$C$2:$C$4,MATCH(B77,Raw_Suppliers!$A$2:$A$4,0)),"")</f>
        <v/>
      </c>
      <c r="R77" s="6">
        <f>Q77&amp;"|"&amp;D77</f>
        <v/>
      </c>
      <c r="S77" s="28">
        <f>IFERROR(INDEX(Raw_Tariff_Ref!$H$2:$H$10,MATCH(R77,Raw_Tariff_Ref!$I$2:$I$10,0)),0)</f>
        <v/>
      </c>
      <c r="T77" s="27">
        <f>IF(G77="","",G77*F77)</f>
        <v/>
      </c>
      <c r="U77" s="27">
        <f>IF(G77="","",G77*(1+S77))</f>
        <v/>
      </c>
      <c r="V77" s="27">
        <f>IF(U77="","",U77*F77)</f>
        <v/>
      </c>
      <c r="W77" s="6">
        <f>IF(COUNTIF($A$2:A77,A77)=1,1,0)</f>
        <v/>
      </c>
    </row>
    <row r="78">
      <c r="A78" s="6" t="inlineStr">
        <is>
          <t>PO-1279</t>
        </is>
      </c>
      <c r="B78" s="6" t="inlineStr">
        <is>
          <t>SUP-001</t>
        </is>
      </c>
      <c r="C78" s="6" t="inlineStr">
        <is>
          <t>PDU / MEP Equipment</t>
        </is>
      </c>
      <c r="D78" s="6" t="n">
        <v>8537.1</v>
      </c>
      <c r="E78" s="26" t="n">
        <v>45786</v>
      </c>
      <c r="F78" s="6" t="n">
        <v>5</v>
      </c>
      <c r="G78" s="27" t="n">
        <v>3620.19</v>
      </c>
      <c r="H78" s="6" t="inlineStr">
        <is>
          <t>FOB</t>
        </is>
      </c>
      <c r="I78" s="6" t="inlineStr">
        <is>
          <t>Air</t>
        </is>
      </c>
      <c r="J78" s="26" t="n">
        <v>45802</v>
      </c>
      <c r="K78" s="26" t="n">
        <v>45816</v>
      </c>
      <c r="L78" s="6" t="n">
        <v>0</v>
      </c>
      <c r="M78" s="6" t="inlineStr">
        <is>
          <t>N</t>
        </is>
      </c>
      <c r="N78" s="6" t="inlineStr">
        <is>
          <t>Delivered</t>
        </is>
      </c>
      <c r="O78" s="6">
        <f>IF(K78="",0,K78-E78)</f>
        <v/>
      </c>
      <c r="P78" s="6">
        <f>IF(N78&lt;&gt;"Delivered","",IF(K78&lt;=J78,1,0))</f>
        <v/>
      </c>
      <c r="Q78" s="6">
        <f>IFERROR(INDEX(Raw_Suppliers!$C$2:$C$4,MATCH(B78,Raw_Suppliers!$A$2:$A$4,0)),"")</f>
        <v/>
      </c>
      <c r="R78" s="6">
        <f>Q78&amp;"|"&amp;D78</f>
        <v/>
      </c>
      <c r="S78" s="28">
        <f>IFERROR(INDEX(Raw_Tariff_Ref!$H$2:$H$10,MATCH(R78,Raw_Tariff_Ref!$I$2:$I$10,0)),0)</f>
        <v/>
      </c>
      <c r="T78" s="27">
        <f>IF(G78="","",G78*F78)</f>
        <v/>
      </c>
      <c r="U78" s="27">
        <f>IF(G78="","",G78*(1+S78))</f>
        <v/>
      </c>
      <c r="V78" s="27">
        <f>IF(U78="","",U78*F78)</f>
        <v/>
      </c>
      <c r="W78" s="6">
        <f>IF(COUNTIF($A$2:A78,A78)=1,1,0)</f>
        <v/>
      </c>
    </row>
    <row r="79">
      <c r="A79" s="6" t="inlineStr">
        <is>
          <t>PO-1309</t>
        </is>
      </c>
      <c r="B79" s="6" t="inlineStr">
        <is>
          <t>SUP-001</t>
        </is>
      </c>
      <c r="C79" s="6" t="inlineStr">
        <is>
          <t>GPU Servers</t>
        </is>
      </c>
      <c r="D79" s="6" t="n">
        <v>8471.5</v>
      </c>
      <c r="E79" s="26" t="n">
        <v>45787</v>
      </c>
      <c r="F79" s="6" t="n">
        <v>5</v>
      </c>
      <c r="G79" s="27" t="n">
        <v>21052.62</v>
      </c>
      <c r="H79" s="6" t="inlineStr">
        <is>
          <t>DDP</t>
        </is>
      </c>
      <c r="I79" s="6" t="inlineStr">
        <is>
          <t>Air</t>
        </is>
      </c>
      <c r="J79" s="26" t="n">
        <v>45800</v>
      </c>
      <c r="K79" s="26" t="n">
        <v>45798</v>
      </c>
      <c r="L79" s="6" t="n">
        <v>0</v>
      </c>
      <c r="M79" s="6" t="inlineStr">
        <is>
          <t>N</t>
        </is>
      </c>
      <c r="N79" s="6" t="inlineStr">
        <is>
          <t>Delivered</t>
        </is>
      </c>
      <c r="O79" s="6">
        <f>IF(K79="",0,K79-E79)</f>
        <v/>
      </c>
      <c r="P79" s="6">
        <f>IF(N79&lt;&gt;"Delivered","",IF(K79&lt;=J79,1,0))</f>
        <v/>
      </c>
      <c r="Q79" s="6">
        <f>IFERROR(INDEX(Raw_Suppliers!$C$2:$C$4,MATCH(B79,Raw_Suppliers!$A$2:$A$4,0)),"")</f>
        <v/>
      </c>
      <c r="R79" s="6">
        <f>Q79&amp;"|"&amp;D79</f>
        <v/>
      </c>
      <c r="S79" s="28">
        <f>IFERROR(INDEX(Raw_Tariff_Ref!$H$2:$H$10,MATCH(R79,Raw_Tariff_Ref!$I$2:$I$10,0)),0)</f>
        <v/>
      </c>
      <c r="T79" s="27">
        <f>IF(G79="","",G79*F79)</f>
        <v/>
      </c>
      <c r="U79" s="27">
        <f>IF(G79="","",G79*(1+S79))</f>
        <v/>
      </c>
      <c r="V79" s="27">
        <f>IF(U79="","",U79*F79)</f>
        <v/>
      </c>
      <c r="W79" s="6">
        <f>IF(COUNTIF($A$2:A79,A79)=1,1,0)</f>
        <v/>
      </c>
    </row>
    <row r="80">
      <c r="A80" s="6" t="inlineStr">
        <is>
          <t>PO-1178</t>
        </is>
      </c>
      <c r="B80" s="6" t="inlineStr">
        <is>
          <t>SUP-002</t>
        </is>
      </c>
      <c r="C80" s="6" t="inlineStr">
        <is>
          <t>GPU Servers</t>
        </is>
      </c>
      <c r="D80" s="6" t="n">
        <v>8471.5</v>
      </c>
      <c r="E80" s="26" t="n">
        <v>45788</v>
      </c>
      <c r="F80" s="6" t="n">
        <v>5</v>
      </c>
      <c r="G80" s="27" t="n">
        <v>20403.44</v>
      </c>
      <c r="H80" s="6" t="inlineStr">
        <is>
          <t>CIF</t>
        </is>
      </c>
      <c r="I80" s="6" t="inlineStr">
        <is>
          <t>Ocean</t>
        </is>
      </c>
      <c r="J80" s="26" t="n">
        <v>45802</v>
      </c>
      <c r="K80" s="26" t="n">
        <v>45800</v>
      </c>
      <c r="L80" s="6" t="n">
        <v>4</v>
      </c>
      <c r="M80" s="6" t="inlineStr">
        <is>
          <t>N</t>
        </is>
      </c>
      <c r="N80" s="6" t="inlineStr">
        <is>
          <t>Delivered</t>
        </is>
      </c>
      <c r="O80" s="6">
        <f>IF(K80="",0,K80-E80)</f>
        <v/>
      </c>
      <c r="P80" s="6">
        <f>IF(N80&lt;&gt;"Delivered","",IF(K80&lt;=J80,1,0))</f>
        <v/>
      </c>
      <c r="Q80" s="6">
        <f>IFERROR(INDEX(Raw_Suppliers!$C$2:$C$4,MATCH(B80,Raw_Suppliers!$A$2:$A$4,0)),"")</f>
        <v/>
      </c>
      <c r="R80" s="6">
        <f>Q80&amp;"|"&amp;D80</f>
        <v/>
      </c>
      <c r="S80" s="28">
        <f>IFERROR(INDEX(Raw_Tariff_Ref!$H$2:$H$10,MATCH(R80,Raw_Tariff_Ref!$I$2:$I$10,0)),0)</f>
        <v/>
      </c>
      <c r="T80" s="27">
        <f>IF(G80="","",G80*F80)</f>
        <v/>
      </c>
      <c r="U80" s="27">
        <f>IF(G80="","",G80*(1+S80))</f>
        <v/>
      </c>
      <c r="V80" s="27">
        <f>IF(U80="","",U80*F80)</f>
        <v/>
      </c>
      <c r="W80" s="6">
        <f>IF(COUNTIF($A$2:A80,A80)=1,1,0)</f>
        <v/>
      </c>
    </row>
    <row r="81">
      <c r="A81" s="6" t="inlineStr">
        <is>
          <t>PO-1311</t>
        </is>
      </c>
      <c r="B81" s="6" t="inlineStr">
        <is>
          <t>SUP-003</t>
        </is>
      </c>
      <c r="C81" s="6" t="inlineStr">
        <is>
          <t>Network Switches</t>
        </is>
      </c>
      <c r="D81" s="6" t="n">
        <v>8517.620000000001</v>
      </c>
      <c r="E81" s="26" t="n">
        <v>45788</v>
      </c>
      <c r="F81" s="6" t="n">
        <v>2</v>
      </c>
      <c r="G81" s="27" t="n">
        <v>2815.93</v>
      </c>
      <c r="H81" s="6" t="inlineStr">
        <is>
          <t>CIF</t>
        </is>
      </c>
      <c r="I81" s="6" t="inlineStr">
        <is>
          <t>Air</t>
        </is>
      </c>
      <c r="J81" s="26" t="n">
        <v>45822</v>
      </c>
      <c r="K81" s="26" t="n">
        <v>45821</v>
      </c>
      <c r="L81" s="6" t="n">
        <v>9</v>
      </c>
      <c r="M81" s="6" t="inlineStr">
        <is>
          <t>N</t>
        </is>
      </c>
      <c r="N81" s="6" t="inlineStr">
        <is>
          <t>Delivered</t>
        </is>
      </c>
      <c r="O81" s="6">
        <f>IF(K81="",0,K81-E81)</f>
        <v/>
      </c>
      <c r="P81" s="6">
        <f>IF(N81&lt;&gt;"Delivered","",IF(K81&lt;=J81,1,0))</f>
        <v/>
      </c>
      <c r="Q81" s="6">
        <f>IFERROR(INDEX(Raw_Suppliers!$C$2:$C$4,MATCH(B81,Raw_Suppliers!$A$2:$A$4,0)),"")</f>
        <v/>
      </c>
      <c r="R81" s="6">
        <f>Q81&amp;"|"&amp;D81</f>
        <v/>
      </c>
      <c r="S81" s="28">
        <f>IFERROR(INDEX(Raw_Tariff_Ref!$H$2:$H$10,MATCH(R81,Raw_Tariff_Ref!$I$2:$I$10,0)),0)</f>
        <v/>
      </c>
      <c r="T81" s="27">
        <f>IF(G81="","",G81*F81)</f>
        <v/>
      </c>
      <c r="U81" s="27">
        <f>IF(G81="","",G81*(1+S81))</f>
        <v/>
      </c>
      <c r="V81" s="27">
        <f>IF(U81="","",U81*F81)</f>
        <v/>
      </c>
      <c r="W81" s="6">
        <f>IF(COUNTIF($A$2:A81,A81)=1,1,0)</f>
        <v/>
      </c>
    </row>
    <row r="82">
      <c r="A82" s="6" t="inlineStr">
        <is>
          <t>PO-1056</t>
        </is>
      </c>
      <c r="B82" s="6" t="inlineStr">
        <is>
          <t>SUP-003</t>
        </is>
      </c>
      <c r="C82" s="6" t="inlineStr">
        <is>
          <t>PDU / MEP Equipment</t>
        </is>
      </c>
      <c r="D82" s="6" t="n">
        <v>8537.1</v>
      </c>
      <c r="E82" s="26" t="n">
        <v>45792</v>
      </c>
      <c r="F82" s="6" t="n">
        <v>40</v>
      </c>
      <c r="G82" s="27" t="n">
        <v>1673.52</v>
      </c>
      <c r="H82" s="6" t="inlineStr">
        <is>
          <t>FOB</t>
        </is>
      </c>
      <c r="I82" s="6" t="inlineStr">
        <is>
          <t>Air</t>
        </is>
      </c>
      <c r="J82" s="26" t="n">
        <v>45819</v>
      </c>
      <c r="K82" s="26" t="n">
        <v>45817</v>
      </c>
      <c r="L82" s="6" t="n">
        <v>8</v>
      </c>
      <c r="M82" s="6" t="inlineStr">
        <is>
          <t>N</t>
        </is>
      </c>
      <c r="N82" s="6" t="inlineStr">
        <is>
          <t>Delivered</t>
        </is>
      </c>
      <c r="O82" s="6">
        <f>IF(K82="",0,K82-E82)</f>
        <v/>
      </c>
      <c r="P82" s="6">
        <f>IF(N82&lt;&gt;"Delivered","",IF(K82&lt;=J82,1,0))</f>
        <v/>
      </c>
      <c r="Q82" s="6">
        <f>IFERROR(INDEX(Raw_Suppliers!$C$2:$C$4,MATCH(B82,Raw_Suppliers!$A$2:$A$4,0)),"")</f>
        <v/>
      </c>
      <c r="R82" s="6">
        <f>Q82&amp;"|"&amp;D82</f>
        <v/>
      </c>
      <c r="S82" s="28">
        <f>IFERROR(INDEX(Raw_Tariff_Ref!$H$2:$H$10,MATCH(R82,Raw_Tariff_Ref!$I$2:$I$10,0)),0)</f>
        <v/>
      </c>
      <c r="T82" s="27">
        <f>IF(G82="","",G82*F82)</f>
        <v/>
      </c>
      <c r="U82" s="27">
        <f>IF(G82="","",G82*(1+S82))</f>
        <v/>
      </c>
      <c r="V82" s="27">
        <f>IF(U82="","",U82*F82)</f>
        <v/>
      </c>
      <c r="W82" s="6">
        <f>IF(COUNTIF($A$2:A82,A82)=1,1,0)</f>
        <v/>
      </c>
    </row>
    <row r="83">
      <c r="A83" s="6" t="inlineStr">
        <is>
          <t>PO-1212</t>
        </is>
      </c>
      <c r="B83" s="6" t="inlineStr">
        <is>
          <t>SUP-001</t>
        </is>
      </c>
      <c r="C83" s="6" t="inlineStr">
        <is>
          <t>PDU / MEP Equipment</t>
        </is>
      </c>
      <c r="D83" s="6" t="n">
        <v>8537.1</v>
      </c>
      <c r="E83" s="26" t="n">
        <v>45793</v>
      </c>
      <c r="F83" s="6" t="n">
        <v>2</v>
      </c>
      <c r="G83" s="27" t="n">
        <v>3617.49</v>
      </c>
      <c r="H83" s="6" t="inlineStr">
        <is>
          <t>DDP</t>
        </is>
      </c>
      <c r="I83" s="6" t="inlineStr">
        <is>
          <t>Air</t>
        </is>
      </c>
      <c r="J83" s="26" t="n">
        <v>45805</v>
      </c>
      <c r="K83" s="26" t="n">
        <v>45803</v>
      </c>
      <c r="L83" s="6" t="n">
        <v>1</v>
      </c>
      <c r="M83" s="6" t="inlineStr">
        <is>
          <t>N</t>
        </is>
      </c>
      <c r="N83" s="6" t="inlineStr">
        <is>
          <t>Delivered</t>
        </is>
      </c>
      <c r="O83" s="6">
        <f>IF(K83="",0,K83-E83)</f>
        <v/>
      </c>
      <c r="P83" s="6">
        <f>IF(N83&lt;&gt;"Delivered","",IF(K83&lt;=J83,1,0))</f>
        <v/>
      </c>
      <c r="Q83" s="6">
        <f>IFERROR(INDEX(Raw_Suppliers!$C$2:$C$4,MATCH(B83,Raw_Suppliers!$A$2:$A$4,0)),"")</f>
        <v/>
      </c>
      <c r="R83" s="6">
        <f>Q83&amp;"|"&amp;D83</f>
        <v/>
      </c>
      <c r="S83" s="28">
        <f>IFERROR(INDEX(Raw_Tariff_Ref!$H$2:$H$10,MATCH(R83,Raw_Tariff_Ref!$I$2:$I$10,0)),0)</f>
        <v/>
      </c>
      <c r="T83" s="27">
        <f>IF(G83="","",G83*F83)</f>
        <v/>
      </c>
      <c r="U83" s="27">
        <f>IF(G83="","",G83*(1+S83))</f>
        <v/>
      </c>
      <c r="V83" s="27">
        <f>IF(U83="","",U83*F83)</f>
        <v/>
      </c>
      <c r="W83" s="6">
        <f>IF(COUNTIF($A$2:A83,A83)=1,1,0)</f>
        <v/>
      </c>
    </row>
    <row r="84">
      <c r="A84" s="6" t="inlineStr">
        <is>
          <t>PO-1171</t>
        </is>
      </c>
      <c r="B84" s="6" t="inlineStr">
        <is>
          <t>SUP-002</t>
        </is>
      </c>
      <c r="C84" s="6" t="inlineStr">
        <is>
          <t>GPU Servers</t>
        </is>
      </c>
      <c r="D84" s="6" t="n">
        <v>8471.5</v>
      </c>
      <c r="E84" s="26" t="n">
        <v>45794</v>
      </c>
      <c r="F84" s="6" t="n">
        <v>40</v>
      </c>
      <c r="G84" s="27" t="n">
        <v>21269.96</v>
      </c>
      <c r="H84" s="6" t="inlineStr">
        <is>
          <t>FOB</t>
        </is>
      </c>
      <c r="I84" s="6" t="inlineStr">
        <is>
          <t>Ocean</t>
        </is>
      </c>
      <c r="J84" s="26" t="n">
        <v>45814</v>
      </c>
      <c r="K84" s="26" t="n">
        <v>45832</v>
      </c>
      <c r="L84" s="6" t="n">
        <v>1</v>
      </c>
      <c r="M84" s="6" t="inlineStr">
        <is>
          <t>N</t>
        </is>
      </c>
      <c r="N84" s="6" t="inlineStr">
        <is>
          <t>Delivered</t>
        </is>
      </c>
      <c r="O84" s="6">
        <f>IF(K84="",0,K84-E84)</f>
        <v/>
      </c>
      <c r="P84" s="6">
        <f>IF(N84&lt;&gt;"Delivered","",IF(K84&lt;=J84,1,0))</f>
        <v/>
      </c>
      <c r="Q84" s="6">
        <f>IFERROR(INDEX(Raw_Suppliers!$C$2:$C$4,MATCH(B84,Raw_Suppliers!$A$2:$A$4,0)),"")</f>
        <v/>
      </c>
      <c r="R84" s="6">
        <f>Q84&amp;"|"&amp;D84</f>
        <v/>
      </c>
      <c r="S84" s="28">
        <f>IFERROR(INDEX(Raw_Tariff_Ref!$H$2:$H$10,MATCH(R84,Raw_Tariff_Ref!$I$2:$I$10,0)),0)</f>
        <v/>
      </c>
      <c r="T84" s="27">
        <f>IF(G84="","",G84*F84)</f>
        <v/>
      </c>
      <c r="U84" s="27">
        <f>IF(G84="","",G84*(1+S84))</f>
        <v/>
      </c>
      <c r="V84" s="27">
        <f>IF(U84="","",U84*F84)</f>
        <v/>
      </c>
      <c r="W84" s="6">
        <f>IF(COUNTIF($A$2:A84,A84)=1,1,0)</f>
        <v/>
      </c>
    </row>
    <row r="85">
      <c r="A85" s="6" t="inlineStr">
        <is>
          <t>PO-1109</t>
        </is>
      </c>
      <c r="B85" s="6" t="inlineStr">
        <is>
          <t>SUP-003</t>
        </is>
      </c>
      <c r="C85" s="6" t="inlineStr">
        <is>
          <t>PDU / MEP Equipment</t>
        </is>
      </c>
      <c r="D85" s="6" t="n">
        <v>8537.1</v>
      </c>
      <c r="E85" s="26" t="n">
        <v>45796</v>
      </c>
      <c r="F85" s="6" t="n">
        <v>4</v>
      </c>
      <c r="G85" s="27" t="n">
        <v>1429.18</v>
      </c>
      <c r="H85" s="6" t="inlineStr">
        <is>
          <t>EXW</t>
        </is>
      </c>
      <c r="I85" s="6" t="inlineStr">
        <is>
          <t>Ocean</t>
        </is>
      </c>
      <c r="J85" s="26" t="n">
        <v>45822</v>
      </c>
      <c r="K85" s="26" t="n">
        <v>45820</v>
      </c>
      <c r="L85" s="6" t="n">
        <v>3</v>
      </c>
      <c r="M85" s="6" t="inlineStr">
        <is>
          <t>N</t>
        </is>
      </c>
      <c r="N85" s="6" t="inlineStr">
        <is>
          <t>Delivered</t>
        </is>
      </c>
      <c r="O85" s="6">
        <f>IF(K85="",0,K85-E85)</f>
        <v/>
      </c>
      <c r="P85" s="6">
        <f>IF(N85&lt;&gt;"Delivered","",IF(K85&lt;=J85,1,0))</f>
        <v/>
      </c>
      <c r="Q85" s="6">
        <f>IFERROR(INDEX(Raw_Suppliers!$C$2:$C$4,MATCH(B85,Raw_Suppliers!$A$2:$A$4,0)),"")</f>
        <v/>
      </c>
      <c r="R85" s="6">
        <f>Q85&amp;"|"&amp;D85</f>
        <v/>
      </c>
      <c r="S85" s="28">
        <f>IFERROR(INDEX(Raw_Tariff_Ref!$H$2:$H$10,MATCH(R85,Raw_Tariff_Ref!$I$2:$I$10,0)),0)</f>
        <v/>
      </c>
      <c r="T85" s="27">
        <f>IF(G85="","",G85*F85)</f>
        <v/>
      </c>
      <c r="U85" s="27">
        <f>IF(G85="","",G85*(1+S85))</f>
        <v/>
      </c>
      <c r="V85" s="27">
        <f>IF(U85="","",U85*F85)</f>
        <v/>
      </c>
      <c r="W85" s="6">
        <f>IF(COUNTIF($A$2:A85,A85)=1,1,0)</f>
        <v/>
      </c>
    </row>
    <row r="86">
      <c r="A86" s="6" t="inlineStr">
        <is>
          <t>PO-1142</t>
        </is>
      </c>
      <c r="B86" s="6" t="inlineStr">
        <is>
          <t>SUP-003</t>
        </is>
      </c>
      <c r="C86" s="6" t="inlineStr">
        <is>
          <t>GPU Servers</t>
        </is>
      </c>
      <c r="D86" s="6" t="n">
        <v>8471.5</v>
      </c>
      <c r="E86" s="26" t="n">
        <v>45797</v>
      </c>
      <c r="F86" s="6" t="n">
        <v>5</v>
      </c>
      <c r="G86" s="27" t="n">
        <v>16616.89</v>
      </c>
      <c r="H86" s="6" t="inlineStr">
        <is>
          <t>CIF</t>
        </is>
      </c>
      <c r="I86" s="6" t="inlineStr">
        <is>
          <t>Ocean</t>
        </is>
      </c>
      <c r="J86" s="26" t="n">
        <v>45812</v>
      </c>
      <c r="K86" s="26" t="n">
        <v>45810</v>
      </c>
      <c r="L86" s="6" t="n">
        <v>10</v>
      </c>
      <c r="M86" s="6" t="inlineStr">
        <is>
          <t>N</t>
        </is>
      </c>
      <c r="N86" s="6" t="inlineStr">
        <is>
          <t>Delivered</t>
        </is>
      </c>
      <c r="O86" s="6">
        <f>IF(K86="",0,K86-E86)</f>
        <v/>
      </c>
      <c r="P86" s="6">
        <f>IF(N86&lt;&gt;"Delivered","",IF(K86&lt;=J86,1,0))</f>
        <v/>
      </c>
      <c r="Q86" s="6">
        <f>IFERROR(INDEX(Raw_Suppliers!$C$2:$C$4,MATCH(B86,Raw_Suppliers!$A$2:$A$4,0)),"")</f>
        <v/>
      </c>
      <c r="R86" s="6">
        <f>Q86&amp;"|"&amp;D86</f>
        <v/>
      </c>
      <c r="S86" s="28">
        <f>IFERROR(INDEX(Raw_Tariff_Ref!$H$2:$H$10,MATCH(R86,Raw_Tariff_Ref!$I$2:$I$10,0)),0)</f>
        <v/>
      </c>
      <c r="T86" s="27">
        <f>IF(G86="","",G86*F86)</f>
        <v/>
      </c>
      <c r="U86" s="27">
        <f>IF(G86="","",G86*(1+S86))</f>
        <v/>
      </c>
      <c r="V86" s="27">
        <f>IF(U86="","",U86*F86)</f>
        <v/>
      </c>
      <c r="W86" s="6">
        <f>IF(COUNTIF($A$2:A86,A86)=1,1,0)</f>
        <v/>
      </c>
    </row>
    <row r="87">
      <c r="A87" s="6" t="inlineStr">
        <is>
          <t>PO-1241</t>
        </is>
      </c>
      <c r="B87" s="6" t="inlineStr">
        <is>
          <t>SUP-003</t>
        </is>
      </c>
      <c r="C87" s="6" t="inlineStr">
        <is>
          <t>PDU / MEP Equipment</t>
        </is>
      </c>
      <c r="D87" s="6" t="n">
        <v>8537.1</v>
      </c>
      <c r="E87" s="26" t="n">
        <v>45798</v>
      </c>
      <c r="F87" s="6" t="n">
        <v>20</v>
      </c>
      <c r="G87" s="27" t="n">
        <v>1554.99</v>
      </c>
      <c r="H87" s="6" t="inlineStr">
        <is>
          <t>CIF</t>
        </is>
      </c>
      <c r="I87" s="6" t="inlineStr">
        <is>
          <t>Air</t>
        </is>
      </c>
      <c r="J87" s="26" t="n">
        <v>45837</v>
      </c>
      <c r="K87" s="26" t="n">
        <v>45836</v>
      </c>
      <c r="L87" s="6" t="n">
        <v>4</v>
      </c>
      <c r="M87" s="6" t="inlineStr">
        <is>
          <t>N</t>
        </is>
      </c>
      <c r="N87" s="6" t="inlineStr">
        <is>
          <t>Delivered</t>
        </is>
      </c>
      <c r="O87" s="6">
        <f>IF(K87="",0,K87-E87)</f>
        <v/>
      </c>
      <c r="P87" s="6">
        <f>IF(N87&lt;&gt;"Delivered","",IF(K87&lt;=J87,1,0))</f>
        <v/>
      </c>
      <c r="Q87" s="6">
        <f>IFERROR(INDEX(Raw_Suppliers!$C$2:$C$4,MATCH(B87,Raw_Suppliers!$A$2:$A$4,0)),"")</f>
        <v/>
      </c>
      <c r="R87" s="6">
        <f>Q87&amp;"|"&amp;D87</f>
        <v/>
      </c>
      <c r="S87" s="28">
        <f>IFERROR(INDEX(Raw_Tariff_Ref!$H$2:$H$10,MATCH(R87,Raw_Tariff_Ref!$I$2:$I$10,0)),0)</f>
        <v/>
      </c>
      <c r="T87" s="27">
        <f>IF(G87="","",G87*F87)</f>
        <v/>
      </c>
      <c r="U87" s="27">
        <f>IF(G87="","",G87*(1+S87))</f>
        <v/>
      </c>
      <c r="V87" s="27">
        <f>IF(U87="","",U87*F87)</f>
        <v/>
      </c>
      <c r="W87" s="6">
        <f>IF(COUNTIF($A$2:A87,A87)=1,1,0)</f>
        <v/>
      </c>
    </row>
    <row r="88">
      <c r="A88" s="6" t="inlineStr">
        <is>
          <t>PO-1155</t>
        </is>
      </c>
      <c r="B88" s="6" t="inlineStr">
        <is>
          <t>SUP-003</t>
        </is>
      </c>
      <c r="C88" s="6" t="inlineStr">
        <is>
          <t>Network Switches</t>
        </is>
      </c>
      <c r="D88" s="6" t="n">
        <v>8517.620000000001</v>
      </c>
      <c r="E88" s="26" t="n">
        <v>45799</v>
      </c>
      <c r="F88" s="6" t="n">
        <v>12</v>
      </c>
      <c r="G88" s="27" t="n">
        <v>2074.11</v>
      </c>
      <c r="H88" s="6" t="inlineStr">
        <is>
          <t>EXW</t>
        </is>
      </c>
      <c r="I88" s="6" t="inlineStr">
        <is>
          <t>Air</t>
        </is>
      </c>
      <c r="J88" s="26" t="n">
        <v>45826</v>
      </c>
      <c r="K88" s="26" t="n">
        <v>45826</v>
      </c>
      <c r="L88" s="6" t="n">
        <v>10</v>
      </c>
      <c r="M88" s="6" t="inlineStr">
        <is>
          <t>N</t>
        </is>
      </c>
      <c r="N88" s="6" t="inlineStr">
        <is>
          <t>Delivered</t>
        </is>
      </c>
      <c r="O88" s="6">
        <f>IF(K88="",0,K88-E88)</f>
        <v/>
      </c>
      <c r="P88" s="6">
        <f>IF(N88&lt;&gt;"Delivered","",IF(K88&lt;=J88,1,0))</f>
        <v/>
      </c>
      <c r="Q88" s="6">
        <f>IFERROR(INDEX(Raw_Suppliers!$C$2:$C$4,MATCH(B88,Raw_Suppliers!$A$2:$A$4,0)),"")</f>
        <v/>
      </c>
      <c r="R88" s="6">
        <f>Q88&amp;"|"&amp;D88</f>
        <v/>
      </c>
      <c r="S88" s="28">
        <f>IFERROR(INDEX(Raw_Tariff_Ref!$H$2:$H$10,MATCH(R88,Raw_Tariff_Ref!$I$2:$I$10,0)),0)</f>
        <v/>
      </c>
      <c r="T88" s="27">
        <f>IF(G88="","",G88*F88)</f>
        <v/>
      </c>
      <c r="U88" s="27">
        <f>IF(G88="","",G88*(1+S88))</f>
        <v/>
      </c>
      <c r="V88" s="27">
        <f>IF(U88="","",U88*F88)</f>
        <v/>
      </c>
      <c r="W88" s="6">
        <f>IF(COUNTIF($A$2:A88,A88)=1,1,0)</f>
        <v/>
      </c>
    </row>
    <row r="89">
      <c r="A89" s="6" t="inlineStr">
        <is>
          <t>PO-1084</t>
        </is>
      </c>
      <c r="B89" s="6" t="inlineStr">
        <is>
          <t>SUP-003</t>
        </is>
      </c>
      <c r="C89" s="6" t="inlineStr">
        <is>
          <t>GPU Servers</t>
        </is>
      </c>
      <c r="D89" s="6" t="n">
        <v>8471.5</v>
      </c>
      <c r="E89" s="26" t="n">
        <v>45802</v>
      </c>
      <c r="F89" s="6" t="n">
        <v>16</v>
      </c>
      <c r="G89" s="27" t="n">
        <v>16722.67</v>
      </c>
      <c r="H89" s="6" t="inlineStr">
        <is>
          <t>CIF</t>
        </is>
      </c>
      <c r="I89" s="6" t="inlineStr">
        <is>
          <t>Air</t>
        </is>
      </c>
      <c r="J89" s="26" t="n">
        <v>45843</v>
      </c>
      <c r="K89" s="26" t="n">
        <v>45862</v>
      </c>
      <c r="L89" s="6" t="n">
        <v>3</v>
      </c>
      <c r="M89" s="6" t="inlineStr">
        <is>
          <t>N</t>
        </is>
      </c>
      <c r="N89" s="6" t="inlineStr">
        <is>
          <t>Delivered</t>
        </is>
      </c>
      <c r="O89" s="6">
        <f>IF(K89="",0,K89-E89)</f>
        <v/>
      </c>
      <c r="P89" s="6">
        <f>IF(N89&lt;&gt;"Delivered","",IF(K89&lt;=J89,1,0))</f>
        <v/>
      </c>
      <c r="Q89" s="6">
        <f>IFERROR(INDEX(Raw_Suppliers!$C$2:$C$4,MATCH(B89,Raw_Suppliers!$A$2:$A$4,0)),"")</f>
        <v/>
      </c>
      <c r="R89" s="6">
        <f>Q89&amp;"|"&amp;D89</f>
        <v/>
      </c>
      <c r="S89" s="28">
        <f>IFERROR(INDEX(Raw_Tariff_Ref!$H$2:$H$10,MATCH(R89,Raw_Tariff_Ref!$I$2:$I$10,0)),0)</f>
        <v/>
      </c>
      <c r="T89" s="27">
        <f>IF(G89="","",G89*F89)</f>
        <v/>
      </c>
      <c r="U89" s="27">
        <f>IF(G89="","",G89*(1+S89))</f>
        <v/>
      </c>
      <c r="V89" s="27">
        <f>IF(U89="","",U89*F89)</f>
        <v/>
      </c>
      <c r="W89" s="6">
        <f>IF(COUNTIF($A$2:A89,A89)=1,1,0)</f>
        <v/>
      </c>
    </row>
    <row r="90">
      <c r="A90" s="6" t="inlineStr">
        <is>
          <t>PO-1321</t>
        </is>
      </c>
      <c r="B90" s="6" t="inlineStr">
        <is>
          <t>SUP-002</t>
        </is>
      </c>
      <c r="C90" s="6" t="inlineStr">
        <is>
          <t>GPU Servers</t>
        </is>
      </c>
      <c r="D90" s="6" t="n">
        <v>8471.5</v>
      </c>
      <c r="E90" s="26" t="n">
        <v>45802</v>
      </c>
      <c r="F90" s="6" t="n">
        <v>20</v>
      </c>
      <c r="G90" s="27" t="n">
        <v>21604.15</v>
      </c>
      <c r="H90" s="6" t="inlineStr">
        <is>
          <t>FOB</t>
        </is>
      </c>
      <c r="I90" s="6" t="inlineStr">
        <is>
          <t>Ocean</t>
        </is>
      </c>
      <c r="J90" s="26" t="n">
        <v>45819</v>
      </c>
      <c r="K90" s="26" t="n">
        <v>45833</v>
      </c>
      <c r="L90" s="6" t="n">
        <v>2</v>
      </c>
      <c r="M90" s="6" t="inlineStr">
        <is>
          <t>N</t>
        </is>
      </c>
      <c r="N90" s="6" t="inlineStr">
        <is>
          <t>Delivered</t>
        </is>
      </c>
      <c r="O90" s="6">
        <f>IF(K90="",0,K90-E90)</f>
        <v/>
      </c>
      <c r="P90" s="6">
        <f>IF(N90&lt;&gt;"Delivered","",IF(K90&lt;=J90,1,0))</f>
        <v/>
      </c>
      <c r="Q90" s="6">
        <f>IFERROR(INDEX(Raw_Suppliers!$C$2:$C$4,MATCH(B90,Raw_Suppliers!$A$2:$A$4,0)),"")</f>
        <v/>
      </c>
      <c r="R90" s="6">
        <f>Q90&amp;"|"&amp;D90</f>
        <v/>
      </c>
      <c r="S90" s="28">
        <f>IFERROR(INDEX(Raw_Tariff_Ref!$H$2:$H$10,MATCH(R90,Raw_Tariff_Ref!$I$2:$I$10,0)),0)</f>
        <v/>
      </c>
      <c r="T90" s="27">
        <f>IF(G90="","",G90*F90)</f>
        <v/>
      </c>
      <c r="U90" s="27">
        <f>IF(G90="","",G90*(1+S90))</f>
        <v/>
      </c>
      <c r="V90" s="27">
        <f>IF(U90="","",U90*F90)</f>
        <v/>
      </c>
      <c r="W90" s="6">
        <f>IF(COUNTIF($A$2:A90,A90)=1,1,0)</f>
        <v/>
      </c>
    </row>
    <row r="91">
      <c r="A91" s="6" t="inlineStr">
        <is>
          <t>PO-1164</t>
        </is>
      </c>
      <c r="B91" s="6" t="inlineStr">
        <is>
          <t>SUP-002</t>
        </is>
      </c>
      <c r="C91" s="6" t="inlineStr">
        <is>
          <t>Network Switches</t>
        </is>
      </c>
      <c r="D91" s="6" t="n">
        <v>8517.620000000001</v>
      </c>
      <c r="E91" s="26" t="n">
        <v>45803</v>
      </c>
      <c r="F91" s="6" t="n">
        <v>12</v>
      </c>
      <c r="G91" s="27" t="n">
        <v>3248.19</v>
      </c>
      <c r="H91" s="6" t="inlineStr">
        <is>
          <t>FOB</t>
        </is>
      </c>
      <c r="I91" s="6" t="inlineStr">
        <is>
          <t>Truck</t>
        </is>
      </c>
      <c r="J91" s="26" t="n">
        <v>45817</v>
      </c>
      <c r="K91" s="26" t="n">
        <v>45816</v>
      </c>
      <c r="L91" s="6" t="n">
        <v>1</v>
      </c>
      <c r="M91" s="6" t="inlineStr">
        <is>
          <t>N</t>
        </is>
      </c>
      <c r="N91" s="6" t="inlineStr">
        <is>
          <t>Delivered</t>
        </is>
      </c>
      <c r="O91" s="6">
        <f>IF(K91="",0,K91-E91)</f>
        <v/>
      </c>
      <c r="P91" s="6">
        <f>IF(N91&lt;&gt;"Delivered","",IF(K91&lt;=J91,1,0))</f>
        <v/>
      </c>
      <c r="Q91" s="6">
        <f>IFERROR(INDEX(Raw_Suppliers!$C$2:$C$4,MATCH(B91,Raw_Suppliers!$A$2:$A$4,0)),"")</f>
        <v/>
      </c>
      <c r="R91" s="6">
        <f>Q91&amp;"|"&amp;D91</f>
        <v/>
      </c>
      <c r="S91" s="28">
        <f>IFERROR(INDEX(Raw_Tariff_Ref!$H$2:$H$10,MATCH(R91,Raw_Tariff_Ref!$I$2:$I$10,0)),0)</f>
        <v/>
      </c>
      <c r="T91" s="27">
        <f>IF(G91="","",G91*F91)</f>
        <v/>
      </c>
      <c r="U91" s="27">
        <f>IF(G91="","",G91*(1+S91))</f>
        <v/>
      </c>
      <c r="V91" s="27">
        <f>IF(U91="","",U91*F91)</f>
        <v/>
      </c>
      <c r="W91" s="6">
        <f>IF(COUNTIF($A$2:A91,A91)=1,1,0)</f>
        <v/>
      </c>
    </row>
    <row r="92">
      <c r="A92" s="6" t="inlineStr">
        <is>
          <t>PO-1145</t>
        </is>
      </c>
      <c r="B92" s="6" t="inlineStr">
        <is>
          <t>SUP-003</t>
        </is>
      </c>
      <c r="C92" s="6" t="inlineStr">
        <is>
          <t>PDU / MEP Equipment</t>
        </is>
      </c>
      <c r="D92" s="6" t="n">
        <v>8537.1</v>
      </c>
      <c r="E92" s="26" t="n">
        <v>45804</v>
      </c>
      <c r="F92" s="6" t="n">
        <v>20</v>
      </c>
      <c r="G92" s="27" t="n">
        <v>2555.18</v>
      </c>
      <c r="H92" s="6" t="inlineStr">
        <is>
          <t>CIF</t>
        </is>
      </c>
      <c r="I92" s="6" t="inlineStr">
        <is>
          <t>Ocean</t>
        </is>
      </c>
      <c r="J92" s="26" t="n">
        <v>45836</v>
      </c>
      <c r="K92" s="26" t="n">
        <v>45841</v>
      </c>
      <c r="L92" s="6" t="n">
        <v>11</v>
      </c>
      <c r="M92" s="6" t="inlineStr">
        <is>
          <t>N</t>
        </is>
      </c>
      <c r="N92" s="6" t="inlineStr">
        <is>
          <t>Delivered</t>
        </is>
      </c>
      <c r="O92" s="6">
        <f>IF(K92="",0,K92-E92)</f>
        <v/>
      </c>
      <c r="P92" s="6">
        <f>IF(N92&lt;&gt;"Delivered","",IF(K92&lt;=J92,1,0))</f>
        <v/>
      </c>
      <c r="Q92" s="6">
        <f>IFERROR(INDEX(Raw_Suppliers!$C$2:$C$4,MATCH(B92,Raw_Suppliers!$A$2:$A$4,0)),"")</f>
        <v/>
      </c>
      <c r="R92" s="6">
        <f>Q92&amp;"|"&amp;D92</f>
        <v/>
      </c>
      <c r="S92" s="28">
        <f>IFERROR(INDEX(Raw_Tariff_Ref!$H$2:$H$10,MATCH(R92,Raw_Tariff_Ref!$I$2:$I$10,0)),0)</f>
        <v/>
      </c>
      <c r="T92" s="27">
        <f>IF(G92="","",G92*F92)</f>
        <v/>
      </c>
      <c r="U92" s="27">
        <f>IF(G92="","",G92*(1+S92))</f>
        <v/>
      </c>
      <c r="V92" s="27">
        <f>IF(U92="","",U92*F92)</f>
        <v/>
      </c>
      <c r="W92" s="6">
        <f>IF(COUNTIF($A$2:A92,A92)=1,1,0)</f>
        <v/>
      </c>
    </row>
    <row r="93">
      <c r="A93" s="6" t="inlineStr">
        <is>
          <t>PO-1149</t>
        </is>
      </c>
      <c r="B93" s="6" t="inlineStr">
        <is>
          <t>SUP-001</t>
        </is>
      </c>
      <c r="C93" s="6" t="inlineStr">
        <is>
          <t>PDU / MEP Equipment</t>
        </is>
      </c>
      <c r="D93" s="6" t="n">
        <v>8537.1</v>
      </c>
      <c r="E93" s="26" t="n">
        <v>45805</v>
      </c>
      <c r="F93" s="6" t="n">
        <v>20</v>
      </c>
      <c r="G93" s="27" t="n">
        <v>3557.73</v>
      </c>
      <c r="H93" s="6" t="inlineStr">
        <is>
          <t>FOB</t>
        </is>
      </c>
      <c r="I93" s="6" t="inlineStr">
        <is>
          <t>Truck</t>
        </is>
      </c>
      <c r="J93" s="26" t="n">
        <v>45815</v>
      </c>
      <c r="K93" s="26" t="n">
        <v>45814</v>
      </c>
      <c r="L93" s="6" t="n">
        <v>1</v>
      </c>
      <c r="M93" s="6" t="inlineStr">
        <is>
          <t>N</t>
        </is>
      </c>
      <c r="N93" s="6" t="inlineStr">
        <is>
          <t>Delivered</t>
        </is>
      </c>
      <c r="O93" s="6">
        <f>IF(K93="",0,K93-E93)</f>
        <v/>
      </c>
      <c r="P93" s="6">
        <f>IF(N93&lt;&gt;"Delivered","",IF(K93&lt;=J93,1,0))</f>
        <v/>
      </c>
      <c r="Q93" s="6">
        <f>IFERROR(INDEX(Raw_Suppliers!$C$2:$C$4,MATCH(B93,Raw_Suppliers!$A$2:$A$4,0)),"")</f>
        <v/>
      </c>
      <c r="R93" s="6">
        <f>Q93&amp;"|"&amp;D93</f>
        <v/>
      </c>
      <c r="S93" s="28">
        <f>IFERROR(INDEX(Raw_Tariff_Ref!$H$2:$H$10,MATCH(R93,Raw_Tariff_Ref!$I$2:$I$10,0)),0)</f>
        <v/>
      </c>
      <c r="T93" s="27">
        <f>IF(G93="","",G93*F93)</f>
        <v/>
      </c>
      <c r="U93" s="27">
        <f>IF(G93="","",G93*(1+S93))</f>
        <v/>
      </c>
      <c r="V93" s="27">
        <f>IF(U93="","",U93*F93)</f>
        <v/>
      </c>
      <c r="W93" s="6">
        <f>IF(COUNTIF($A$2:A93,A93)=1,1,0)</f>
        <v/>
      </c>
    </row>
    <row r="94">
      <c r="A94" s="6" t="inlineStr">
        <is>
          <t>PO-1020</t>
        </is>
      </c>
      <c r="B94" s="6" t="inlineStr">
        <is>
          <t>SUP-001</t>
        </is>
      </c>
      <c r="C94" s="6" t="inlineStr">
        <is>
          <t>PDU / MEP Equipment</t>
        </is>
      </c>
      <c r="D94" s="6" t="n">
        <v>8537.1</v>
      </c>
      <c r="E94" s="26" t="n">
        <v>45806</v>
      </c>
      <c r="F94" s="6" t="n">
        <v>20</v>
      </c>
      <c r="G94" s="27" t="n">
        <v>2792.25</v>
      </c>
      <c r="H94" s="6" t="inlineStr">
        <is>
          <t>FOB</t>
        </is>
      </c>
      <c r="I94" s="6" t="inlineStr">
        <is>
          <t>Air</t>
        </is>
      </c>
      <c r="J94" s="26" t="n">
        <v>45820</v>
      </c>
      <c r="K94" s="26" t="n">
        <v>45819</v>
      </c>
      <c r="L94" s="6" t="n">
        <v>0</v>
      </c>
      <c r="M94" s="6" t="inlineStr">
        <is>
          <t>N</t>
        </is>
      </c>
      <c r="N94" s="6" t="inlineStr">
        <is>
          <t>Delivered</t>
        </is>
      </c>
      <c r="O94" s="6">
        <f>IF(K94="",0,K94-E94)</f>
        <v/>
      </c>
      <c r="P94" s="6">
        <f>IF(N94&lt;&gt;"Delivered","",IF(K94&lt;=J94,1,0))</f>
        <v/>
      </c>
      <c r="Q94" s="6">
        <f>IFERROR(INDEX(Raw_Suppliers!$C$2:$C$4,MATCH(B94,Raw_Suppliers!$A$2:$A$4,0)),"")</f>
        <v/>
      </c>
      <c r="R94" s="6">
        <f>Q94&amp;"|"&amp;D94</f>
        <v/>
      </c>
      <c r="S94" s="28">
        <f>IFERROR(INDEX(Raw_Tariff_Ref!$H$2:$H$10,MATCH(R94,Raw_Tariff_Ref!$I$2:$I$10,0)),0)</f>
        <v/>
      </c>
      <c r="T94" s="27">
        <f>IF(G94="","",G94*F94)</f>
        <v/>
      </c>
      <c r="U94" s="27">
        <f>IF(G94="","",G94*(1+S94))</f>
        <v/>
      </c>
      <c r="V94" s="27">
        <f>IF(U94="","",U94*F94)</f>
        <v/>
      </c>
      <c r="W94" s="6">
        <f>IF(COUNTIF($A$2:A94,A94)=1,1,0)</f>
        <v/>
      </c>
    </row>
    <row r="95">
      <c r="A95" s="6" t="inlineStr">
        <is>
          <t>PO-1254</t>
        </is>
      </c>
      <c r="B95" s="6" t="inlineStr">
        <is>
          <t>SUP-003</t>
        </is>
      </c>
      <c r="C95" s="6" t="inlineStr">
        <is>
          <t>GPU Servers</t>
        </is>
      </c>
      <c r="D95" s="6" t="n">
        <v>8471.5</v>
      </c>
      <c r="E95" s="26" t="n">
        <v>45808</v>
      </c>
      <c r="F95" s="6" t="n">
        <v>20</v>
      </c>
      <c r="G95" s="27" t="n">
        <v>15267.15</v>
      </c>
      <c r="H95" s="6" t="inlineStr">
        <is>
          <t>CIF</t>
        </is>
      </c>
      <c r="I95" s="6" t="inlineStr">
        <is>
          <t>Air</t>
        </is>
      </c>
      <c r="J95" s="26" t="n">
        <v>45839</v>
      </c>
      <c r="K95" s="26" t="n">
        <v>45838</v>
      </c>
      <c r="L95" s="6" t="n">
        <v>8</v>
      </c>
      <c r="M95" s="6" t="inlineStr">
        <is>
          <t>N</t>
        </is>
      </c>
      <c r="N95" s="6" t="inlineStr">
        <is>
          <t>Delivered</t>
        </is>
      </c>
      <c r="O95" s="6">
        <f>IF(K95="",0,K95-E95)</f>
        <v/>
      </c>
      <c r="P95" s="6">
        <f>IF(N95&lt;&gt;"Delivered","",IF(K95&lt;=J95,1,0))</f>
        <v/>
      </c>
      <c r="Q95" s="6">
        <f>IFERROR(INDEX(Raw_Suppliers!$C$2:$C$4,MATCH(B95,Raw_Suppliers!$A$2:$A$4,0)),"")</f>
        <v/>
      </c>
      <c r="R95" s="6">
        <f>Q95&amp;"|"&amp;D95</f>
        <v/>
      </c>
      <c r="S95" s="28">
        <f>IFERROR(INDEX(Raw_Tariff_Ref!$H$2:$H$10,MATCH(R95,Raw_Tariff_Ref!$I$2:$I$10,0)),0)</f>
        <v/>
      </c>
      <c r="T95" s="27">
        <f>IF(G95="","",G95*F95)</f>
        <v/>
      </c>
      <c r="U95" s="27">
        <f>IF(G95="","",G95*(1+S95))</f>
        <v/>
      </c>
      <c r="V95" s="27">
        <f>IF(U95="","",U95*F95)</f>
        <v/>
      </c>
      <c r="W95" s="6">
        <f>IF(COUNTIF($A$2:A95,A95)=1,1,0)</f>
        <v/>
      </c>
    </row>
    <row r="96">
      <c r="A96" s="6" t="inlineStr">
        <is>
          <t>PO-1320</t>
        </is>
      </c>
      <c r="B96" s="6" t="inlineStr">
        <is>
          <t>SUP-001</t>
        </is>
      </c>
      <c r="C96" s="6" t="inlineStr">
        <is>
          <t>GPU Servers</t>
        </is>
      </c>
      <c r="D96" s="6" t="n">
        <v>8471.5</v>
      </c>
      <c r="E96" s="26" t="n">
        <v>45808</v>
      </c>
      <c r="F96" s="6" t="n">
        <v>12</v>
      </c>
      <c r="G96" s="27" t="n">
        <v>23483.72</v>
      </c>
      <c r="H96" s="6" t="inlineStr">
        <is>
          <t>DDP</t>
        </is>
      </c>
      <c r="I96" s="6" t="inlineStr">
        <is>
          <t>Air</t>
        </is>
      </c>
      <c r="J96" s="26" t="n">
        <v>45821</v>
      </c>
      <c r="K96" s="26" t="n">
        <v>45821</v>
      </c>
      <c r="L96" s="6" t="n">
        <v>0</v>
      </c>
      <c r="M96" s="6" t="inlineStr">
        <is>
          <t>N</t>
        </is>
      </c>
      <c r="N96" s="6" t="inlineStr">
        <is>
          <t>Delivered</t>
        </is>
      </c>
      <c r="O96" s="6">
        <f>IF(K96="",0,K96-E96)</f>
        <v/>
      </c>
      <c r="P96" s="6">
        <f>IF(N96&lt;&gt;"Delivered","",IF(K96&lt;=J96,1,0))</f>
        <v/>
      </c>
      <c r="Q96" s="6">
        <f>IFERROR(INDEX(Raw_Suppliers!$C$2:$C$4,MATCH(B96,Raw_Suppliers!$A$2:$A$4,0)),"")</f>
        <v/>
      </c>
      <c r="R96" s="6">
        <f>Q96&amp;"|"&amp;D96</f>
        <v/>
      </c>
      <c r="S96" s="28">
        <f>IFERROR(INDEX(Raw_Tariff_Ref!$H$2:$H$10,MATCH(R96,Raw_Tariff_Ref!$I$2:$I$10,0)),0)</f>
        <v/>
      </c>
      <c r="T96" s="27">
        <f>IF(G96="","",G96*F96)</f>
        <v/>
      </c>
      <c r="U96" s="27">
        <f>IF(G96="","",G96*(1+S96))</f>
        <v/>
      </c>
      <c r="V96" s="27">
        <f>IF(U96="","",U96*F96)</f>
        <v/>
      </c>
      <c r="W96" s="6">
        <f>IF(COUNTIF($A$2:A96,A96)=1,1,0)</f>
        <v/>
      </c>
    </row>
    <row r="97">
      <c r="A97" s="6" t="inlineStr">
        <is>
          <t>PO-1307</t>
        </is>
      </c>
      <c r="B97" s="6" t="inlineStr">
        <is>
          <t>SUP-003</t>
        </is>
      </c>
      <c r="C97" s="6" t="inlineStr">
        <is>
          <t>Network Switches</t>
        </is>
      </c>
      <c r="D97" s="6" t="n">
        <v>8517.620000000001</v>
      </c>
      <c r="E97" s="26" t="n">
        <v>45814</v>
      </c>
      <c r="F97" s="6" t="n">
        <v>12</v>
      </c>
      <c r="G97" s="27" t="n">
        <v>2319.97</v>
      </c>
      <c r="H97" s="6" t="inlineStr">
        <is>
          <t>EXW</t>
        </is>
      </c>
      <c r="I97" s="6" t="inlineStr">
        <is>
          <t>Air</t>
        </is>
      </c>
      <c r="J97" s="26" t="n">
        <v>45854</v>
      </c>
      <c r="K97" s="26" t="n">
        <v>45852</v>
      </c>
      <c r="L97" s="6" t="n">
        <v>7</v>
      </c>
      <c r="M97" s="6" t="inlineStr">
        <is>
          <t>N</t>
        </is>
      </c>
      <c r="N97" s="6" t="inlineStr">
        <is>
          <t>Delivered</t>
        </is>
      </c>
      <c r="O97" s="6">
        <f>IF(K97="",0,K97-E97)</f>
        <v/>
      </c>
      <c r="P97" s="6">
        <f>IF(N97&lt;&gt;"Delivered","",IF(K97&lt;=J97,1,0))</f>
        <v/>
      </c>
      <c r="Q97" s="6">
        <f>IFERROR(INDEX(Raw_Suppliers!$C$2:$C$4,MATCH(B97,Raw_Suppliers!$A$2:$A$4,0)),"")</f>
        <v/>
      </c>
      <c r="R97" s="6">
        <f>Q97&amp;"|"&amp;D97</f>
        <v/>
      </c>
      <c r="S97" s="28">
        <f>IFERROR(INDEX(Raw_Tariff_Ref!$H$2:$H$10,MATCH(R97,Raw_Tariff_Ref!$I$2:$I$10,0)),0)</f>
        <v/>
      </c>
      <c r="T97" s="27">
        <f>IF(G97="","",G97*F97)</f>
        <v/>
      </c>
      <c r="U97" s="27">
        <f>IF(G97="","",G97*(1+S97))</f>
        <v/>
      </c>
      <c r="V97" s="27">
        <f>IF(U97="","",U97*F97)</f>
        <v/>
      </c>
      <c r="W97" s="6">
        <f>IF(COUNTIF($A$2:A97,A97)=1,1,0)</f>
        <v/>
      </c>
    </row>
    <row r="98">
      <c r="A98" s="6" t="inlineStr">
        <is>
          <t>PO-1113</t>
        </is>
      </c>
      <c r="B98" s="6" t="inlineStr">
        <is>
          <t>SUP-003</t>
        </is>
      </c>
      <c r="C98" s="6" t="inlineStr">
        <is>
          <t>Network Switches</t>
        </is>
      </c>
      <c r="D98" s="6" t="n">
        <v>8517.620000000001</v>
      </c>
      <c r="E98" s="26" t="n">
        <v>45814</v>
      </c>
      <c r="F98" s="6" t="n">
        <v>40</v>
      </c>
      <c r="G98" s="27" t="n">
        <v>3292.48</v>
      </c>
      <c r="H98" s="6" t="inlineStr">
        <is>
          <t>CIF</t>
        </is>
      </c>
      <c r="I98" s="6" t="inlineStr">
        <is>
          <t>Air</t>
        </is>
      </c>
      <c r="J98" s="26" t="n">
        <v>45854</v>
      </c>
      <c r="K98" s="26" t="n">
        <v>45853</v>
      </c>
      <c r="L98" s="6" t="n">
        <v>9</v>
      </c>
      <c r="M98" s="6" t="inlineStr">
        <is>
          <t>N</t>
        </is>
      </c>
      <c r="N98" s="6" t="inlineStr">
        <is>
          <t>Delivered</t>
        </is>
      </c>
      <c r="O98" s="6">
        <f>IF(K98="",0,K98-E98)</f>
        <v/>
      </c>
      <c r="P98" s="6">
        <f>IF(N98&lt;&gt;"Delivered","",IF(K98&lt;=J98,1,0))</f>
        <v/>
      </c>
      <c r="Q98" s="6">
        <f>IFERROR(INDEX(Raw_Suppliers!$C$2:$C$4,MATCH(B98,Raw_Suppliers!$A$2:$A$4,0)),"")</f>
        <v/>
      </c>
      <c r="R98" s="6">
        <f>Q98&amp;"|"&amp;D98</f>
        <v/>
      </c>
      <c r="S98" s="28">
        <f>IFERROR(INDEX(Raw_Tariff_Ref!$H$2:$H$10,MATCH(R98,Raw_Tariff_Ref!$I$2:$I$10,0)),0)</f>
        <v/>
      </c>
      <c r="T98" s="27">
        <f>IF(G98="","",G98*F98)</f>
        <v/>
      </c>
      <c r="U98" s="27">
        <f>IF(G98="","",G98*(1+S98))</f>
        <v/>
      </c>
      <c r="V98" s="27">
        <f>IF(U98="","",U98*F98)</f>
        <v/>
      </c>
      <c r="W98" s="6">
        <f>IF(COUNTIF($A$2:A98,A98)=1,1,0)</f>
        <v/>
      </c>
    </row>
    <row r="99">
      <c r="A99" s="6" t="inlineStr">
        <is>
          <t>PO-1032</t>
        </is>
      </c>
      <c r="B99" s="6" t="inlineStr">
        <is>
          <t>SUP-001</t>
        </is>
      </c>
      <c r="C99" s="6" t="inlineStr">
        <is>
          <t>GPU Servers</t>
        </is>
      </c>
      <c r="D99" s="6" t="n">
        <v>8471.5</v>
      </c>
      <c r="E99" s="26" t="n">
        <v>45815</v>
      </c>
      <c r="F99" s="6" t="n">
        <v>40</v>
      </c>
      <c r="G99" s="27" t="n">
        <v>18533.13</v>
      </c>
      <c r="H99" s="6" t="inlineStr">
        <is>
          <t>DDP</t>
        </is>
      </c>
      <c r="I99" s="6" t="inlineStr">
        <is>
          <t>Truck</t>
        </is>
      </c>
      <c r="J99" s="26" t="n">
        <v>45824</v>
      </c>
      <c r="K99" s="26" t="n">
        <v>45823</v>
      </c>
      <c r="L99" s="6" t="n">
        <v>0</v>
      </c>
      <c r="M99" s="6" t="inlineStr">
        <is>
          <t>N</t>
        </is>
      </c>
      <c r="N99" s="6" t="inlineStr">
        <is>
          <t>Delivered</t>
        </is>
      </c>
      <c r="O99" s="6">
        <f>IF(K99="",0,K99-E99)</f>
        <v/>
      </c>
      <c r="P99" s="6">
        <f>IF(N99&lt;&gt;"Delivered","",IF(K99&lt;=J99,1,0))</f>
        <v/>
      </c>
      <c r="Q99" s="6">
        <f>IFERROR(INDEX(Raw_Suppliers!$C$2:$C$4,MATCH(B99,Raw_Suppliers!$A$2:$A$4,0)),"")</f>
        <v/>
      </c>
      <c r="R99" s="6">
        <f>Q99&amp;"|"&amp;D99</f>
        <v/>
      </c>
      <c r="S99" s="28">
        <f>IFERROR(INDEX(Raw_Tariff_Ref!$H$2:$H$10,MATCH(R99,Raw_Tariff_Ref!$I$2:$I$10,0)),0)</f>
        <v/>
      </c>
      <c r="T99" s="27">
        <f>IF(G99="","",G99*F99)</f>
        <v/>
      </c>
      <c r="U99" s="27">
        <f>IF(G99="","",G99*(1+S99))</f>
        <v/>
      </c>
      <c r="V99" s="27">
        <f>IF(U99="","",U99*F99)</f>
        <v/>
      </c>
      <c r="W99" s="6">
        <f>IF(COUNTIF($A$2:A99,A99)=1,1,0)</f>
        <v/>
      </c>
    </row>
    <row r="100">
      <c r="A100" s="6" t="inlineStr">
        <is>
          <t>PO-1070</t>
        </is>
      </c>
      <c r="B100" s="6" t="inlineStr">
        <is>
          <t>SUP-002</t>
        </is>
      </c>
      <c r="C100" s="6" t="inlineStr">
        <is>
          <t>Network Switches</t>
        </is>
      </c>
      <c r="D100" s="6" t="n">
        <v>8517.620000000001</v>
      </c>
      <c r="E100" s="26" t="n">
        <v>45818</v>
      </c>
      <c r="F100" s="6" t="n">
        <v>10</v>
      </c>
      <c r="G100" s="27" t="n">
        <v>3404.28</v>
      </c>
      <c r="H100" s="6" t="inlineStr">
        <is>
          <t>FOB</t>
        </is>
      </c>
      <c r="I100" s="6" t="inlineStr">
        <is>
          <t>Truck</t>
        </is>
      </c>
      <c r="J100" s="26" t="n">
        <v>45835</v>
      </c>
      <c r="K100" s="26" t="n">
        <v>45835</v>
      </c>
      <c r="L100" s="6" t="n">
        <v>4</v>
      </c>
      <c r="M100" s="6" t="inlineStr">
        <is>
          <t>N</t>
        </is>
      </c>
      <c r="N100" s="6" t="inlineStr">
        <is>
          <t>Delivered</t>
        </is>
      </c>
      <c r="O100" s="6">
        <f>IF(K100="",0,K100-E100)</f>
        <v/>
      </c>
      <c r="P100" s="6">
        <f>IF(N100&lt;&gt;"Delivered","",IF(K100&lt;=J100,1,0))</f>
        <v/>
      </c>
      <c r="Q100" s="6">
        <f>IFERROR(INDEX(Raw_Suppliers!$C$2:$C$4,MATCH(B100,Raw_Suppliers!$A$2:$A$4,0)),"")</f>
        <v/>
      </c>
      <c r="R100" s="6">
        <f>Q100&amp;"|"&amp;D100</f>
        <v/>
      </c>
      <c r="S100" s="28">
        <f>IFERROR(INDEX(Raw_Tariff_Ref!$H$2:$H$10,MATCH(R100,Raw_Tariff_Ref!$I$2:$I$10,0)),0)</f>
        <v/>
      </c>
      <c r="T100" s="27">
        <f>IF(G100="","",G100*F100)</f>
        <v/>
      </c>
      <c r="U100" s="27">
        <f>IF(G100="","",G100*(1+S100))</f>
        <v/>
      </c>
      <c r="V100" s="27">
        <f>IF(U100="","",U100*F100)</f>
        <v/>
      </c>
      <c r="W100" s="6">
        <f>IF(COUNTIF($A$2:A100,A100)=1,1,0)</f>
        <v/>
      </c>
    </row>
    <row r="101">
      <c r="A101" s="6" t="inlineStr">
        <is>
          <t>PO-1049</t>
        </is>
      </c>
      <c r="B101" s="6" t="inlineStr">
        <is>
          <t>SUP-001</t>
        </is>
      </c>
      <c r="C101" s="6" t="inlineStr">
        <is>
          <t>PDU / MEP Equipment</t>
        </is>
      </c>
      <c r="D101" s="6" t="n">
        <v>8537.1</v>
      </c>
      <c r="E101" s="26" t="n">
        <v>45819</v>
      </c>
      <c r="F101" s="6" t="n">
        <v>16</v>
      </c>
      <c r="G101" s="27" t="n">
        <v>3635.55</v>
      </c>
      <c r="H101" s="6" t="inlineStr">
        <is>
          <t>DDP</t>
        </is>
      </c>
      <c r="I101" s="6" t="inlineStr">
        <is>
          <t>Air</t>
        </is>
      </c>
      <c r="J101" s="26" t="n">
        <v>45832</v>
      </c>
      <c r="K101" s="26" t="n">
        <v>45830</v>
      </c>
      <c r="L101" s="6" t="n">
        <v>0</v>
      </c>
      <c r="M101" s="6" t="inlineStr">
        <is>
          <t>N</t>
        </is>
      </c>
      <c r="N101" s="6" t="inlineStr">
        <is>
          <t>Delivered</t>
        </is>
      </c>
      <c r="O101" s="6">
        <f>IF(K101="",0,K101-E101)</f>
        <v/>
      </c>
      <c r="P101" s="6">
        <f>IF(N101&lt;&gt;"Delivered","",IF(K101&lt;=J101,1,0))</f>
        <v/>
      </c>
      <c r="Q101" s="6">
        <f>IFERROR(INDEX(Raw_Suppliers!$C$2:$C$4,MATCH(B101,Raw_Suppliers!$A$2:$A$4,0)),"")</f>
        <v/>
      </c>
      <c r="R101" s="6">
        <f>Q101&amp;"|"&amp;D101</f>
        <v/>
      </c>
      <c r="S101" s="28">
        <f>IFERROR(INDEX(Raw_Tariff_Ref!$H$2:$H$10,MATCH(R101,Raw_Tariff_Ref!$I$2:$I$10,0)),0)</f>
        <v/>
      </c>
      <c r="T101" s="27">
        <f>IF(G101="","",G101*F101)</f>
        <v/>
      </c>
      <c r="U101" s="27">
        <f>IF(G101="","",G101*(1+S101))</f>
        <v/>
      </c>
      <c r="V101" s="27">
        <f>IF(U101="","",U101*F101)</f>
        <v/>
      </c>
      <c r="W101" s="6">
        <f>IF(COUNTIF($A$2:A101,A101)=1,1,0)</f>
        <v/>
      </c>
    </row>
    <row r="102">
      <c r="A102" s="6" t="inlineStr">
        <is>
          <t>PO-1172</t>
        </is>
      </c>
      <c r="B102" s="6" t="inlineStr">
        <is>
          <t>SUP-003</t>
        </is>
      </c>
      <c r="C102" s="6" t="inlineStr">
        <is>
          <t>GPU Servers</t>
        </is>
      </c>
      <c r="D102" s="6" t="n">
        <v>8471.5</v>
      </c>
      <c r="E102" s="26" t="n">
        <v>45819</v>
      </c>
      <c r="F102" s="6" t="n">
        <v>12</v>
      </c>
      <c r="G102" s="27" t="n">
        <v>13141.71</v>
      </c>
      <c r="H102" s="6" t="inlineStr">
        <is>
          <t>EXW</t>
        </is>
      </c>
      <c r="I102" s="6" t="inlineStr">
        <is>
          <t>Air</t>
        </is>
      </c>
      <c r="J102" s="26" t="n">
        <v>45855</v>
      </c>
      <c r="K102" s="26" t="n">
        <v>45853</v>
      </c>
      <c r="L102" s="6" t="n">
        <v>11</v>
      </c>
      <c r="M102" s="6" t="inlineStr">
        <is>
          <t>N</t>
        </is>
      </c>
      <c r="N102" s="6" t="inlineStr">
        <is>
          <t>Delivered</t>
        </is>
      </c>
      <c r="O102" s="6">
        <f>IF(K102="",0,K102-E102)</f>
        <v/>
      </c>
      <c r="P102" s="6">
        <f>IF(N102&lt;&gt;"Delivered","",IF(K102&lt;=J102,1,0))</f>
        <v/>
      </c>
      <c r="Q102" s="6">
        <f>IFERROR(INDEX(Raw_Suppliers!$C$2:$C$4,MATCH(B102,Raw_Suppliers!$A$2:$A$4,0)),"")</f>
        <v/>
      </c>
      <c r="R102" s="6">
        <f>Q102&amp;"|"&amp;D102</f>
        <v/>
      </c>
      <c r="S102" s="28">
        <f>IFERROR(INDEX(Raw_Tariff_Ref!$H$2:$H$10,MATCH(R102,Raw_Tariff_Ref!$I$2:$I$10,0)),0)</f>
        <v/>
      </c>
      <c r="T102" s="27">
        <f>IF(G102="","",G102*F102)</f>
        <v/>
      </c>
      <c r="U102" s="27">
        <f>IF(G102="","",G102*(1+S102))</f>
        <v/>
      </c>
      <c r="V102" s="27">
        <f>IF(U102="","",U102*F102)</f>
        <v/>
      </c>
      <c r="W102" s="6">
        <f>IF(COUNTIF($A$2:A102,A102)=1,1,0)</f>
        <v/>
      </c>
    </row>
    <row r="103">
      <c r="A103" s="6" t="inlineStr">
        <is>
          <t>PO-1174</t>
        </is>
      </c>
      <c r="B103" s="6" t="inlineStr">
        <is>
          <t>SUP-003</t>
        </is>
      </c>
      <c r="C103" s="6" t="inlineStr">
        <is>
          <t>GPU Servers</t>
        </is>
      </c>
      <c r="D103" s="6" t="n">
        <v>8471.5</v>
      </c>
      <c r="E103" s="26" t="n">
        <v>45820</v>
      </c>
      <c r="F103" s="6" t="n">
        <v>40</v>
      </c>
      <c r="G103" s="27" t="n">
        <v>13367.19</v>
      </c>
      <c r="H103" s="6" t="inlineStr">
        <is>
          <t>CIF</t>
        </is>
      </c>
      <c r="I103" s="6" t="inlineStr">
        <is>
          <t>Ocean</t>
        </is>
      </c>
      <c r="J103" s="26" t="n">
        <v>45848</v>
      </c>
      <c r="K103" s="26" t="n">
        <v>45848</v>
      </c>
      <c r="L103" s="6" t="n">
        <v>3</v>
      </c>
      <c r="M103" s="6" t="inlineStr">
        <is>
          <t>N</t>
        </is>
      </c>
      <c r="N103" s="6" t="inlineStr">
        <is>
          <t>Delivered</t>
        </is>
      </c>
      <c r="O103" s="6">
        <f>IF(K103="",0,K103-E103)</f>
        <v/>
      </c>
      <c r="P103" s="6">
        <f>IF(N103&lt;&gt;"Delivered","",IF(K103&lt;=J103,1,0))</f>
        <v/>
      </c>
      <c r="Q103" s="6">
        <f>IFERROR(INDEX(Raw_Suppliers!$C$2:$C$4,MATCH(B103,Raw_Suppliers!$A$2:$A$4,0)),"")</f>
        <v/>
      </c>
      <c r="R103" s="6">
        <f>Q103&amp;"|"&amp;D103</f>
        <v/>
      </c>
      <c r="S103" s="28">
        <f>IFERROR(INDEX(Raw_Tariff_Ref!$H$2:$H$10,MATCH(R103,Raw_Tariff_Ref!$I$2:$I$10,0)),0)</f>
        <v/>
      </c>
      <c r="T103" s="27">
        <f>IF(G103="","",G103*F103)</f>
        <v/>
      </c>
      <c r="U103" s="27">
        <f>IF(G103="","",G103*(1+S103))</f>
        <v/>
      </c>
      <c r="V103" s="27">
        <f>IF(U103="","",U103*F103)</f>
        <v/>
      </c>
      <c r="W103" s="6">
        <f>IF(COUNTIF($A$2:A103,A103)=1,1,0)</f>
        <v/>
      </c>
    </row>
    <row r="104">
      <c r="A104" s="6" t="inlineStr">
        <is>
          <t>PO-1104</t>
        </is>
      </c>
      <c r="B104" s="6" t="inlineStr">
        <is>
          <t>SUP-002</t>
        </is>
      </c>
      <c r="C104" s="6" t="inlineStr">
        <is>
          <t>GPU Servers</t>
        </is>
      </c>
      <c r="D104" s="6" t="n">
        <v>8471.5</v>
      </c>
      <c r="E104" s="26" t="n">
        <v>45821</v>
      </c>
      <c r="F104" s="6" t="n">
        <v>4</v>
      </c>
      <c r="G104" s="27" t="n">
        <v>21195.46</v>
      </c>
      <c r="H104" s="6" t="inlineStr">
        <is>
          <t>CIF</t>
        </is>
      </c>
      <c r="I104" s="6" t="inlineStr">
        <is>
          <t>Ocean</t>
        </is>
      </c>
      <c r="J104" s="26" t="n">
        <v>45838</v>
      </c>
      <c r="K104" s="26" t="n">
        <v>45859</v>
      </c>
      <c r="L104" s="6" t="n">
        <v>1</v>
      </c>
      <c r="M104" s="6" t="inlineStr">
        <is>
          <t>N</t>
        </is>
      </c>
      <c r="N104" s="6" t="inlineStr">
        <is>
          <t>Delivered</t>
        </is>
      </c>
      <c r="O104" s="6">
        <f>IF(K104="",0,K104-E104)</f>
        <v/>
      </c>
      <c r="P104" s="6">
        <f>IF(N104&lt;&gt;"Delivered","",IF(K104&lt;=J104,1,0))</f>
        <v/>
      </c>
      <c r="Q104" s="6">
        <f>IFERROR(INDEX(Raw_Suppliers!$C$2:$C$4,MATCH(B104,Raw_Suppliers!$A$2:$A$4,0)),"")</f>
        <v/>
      </c>
      <c r="R104" s="6">
        <f>Q104&amp;"|"&amp;D104</f>
        <v/>
      </c>
      <c r="S104" s="28">
        <f>IFERROR(INDEX(Raw_Tariff_Ref!$H$2:$H$10,MATCH(R104,Raw_Tariff_Ref!$I$2:$I$10,0)),0)</f>
        <v/>
      </c>
      <c r="T104" s="27">
        <f>IF(G104="","",G104*F104)</f>
        <v/>
      </c>
      <c r="U104" s="27">
        <f>IF(G104="","",G104*(1+S104))</f>
        <v/>
      </c>
      <c r="V104" s="27">
        <f>IF(U104="","",U104*F104)</f>
        <v/>
      </c>
      <c r="W104" s="6">
        <f>IF(COUNTIF($A$2:A104,A104)=1,1,0)</f>
        <v/>
      </c>
    </row>
    <row r="105">
      <c r="A105" s="6" t="inlineStr">
        <is>
          <t>PO-1289</t>
        </is>
      </c>
      <c r="B105" s="6" t="inlineStr">
        <is>
          <t>SUP-002</t>
        </is>
      </c>
      <c r="C105" s="6" t="inlineStr">
        <is>
          <t>Network Switches</t>
        </is>
      </c>
      <c r="D105" s="6" t="n">
        <v>8517.620000000001</v>
      </c>
      <c r="E105" s="26" t="n">
        <v>45822</v>
      </c>
      <c r="F105" s="6" t="n">
        <v>40</v>
      </c>
      <c r="G105" s="27" t="n">
        <v>4146.73</v>
      </c>
      <c r="H105" s="6" t="inlineStr">
        <is>
          <t>FOB</t>
        </is>
      </c>
      <c r="I105" s="6" t="inlineStr">
        <is>
          <t>Ocean</t>
        </is>
      </c>
      <c r="J105" s="26" t="n">
        <v>45843</v>
      </c>
      <c r="K105" s="26" t="n">
        <v>45842</v>
      </c>
      <c r="L105" s="6" t="n">
        <v>4</v>
      </c>
      <c r="M105" s="6" t="inlineStr">
        <is>
          <t>N</t>
        </is>
      </c>
      <c r="N105" s="6" t="inlineStr">
        <is>
          <t>Delivered</t>
        </is>
      </c>
      <c r="O105" s="6">
        <f>IF(K105="",0,K105-E105)</f>
        <v/>
      </c>
      <c r="P105" s="6">
        <f>IF(N105&lt;&gt;"Delivered","",IF(K105&lt;=J105,1,0))</f>
        <v/>
      </c>
      <c r="Q105" s="6">
        <f>IFERROR(INDEX(Raw_Suppliers!$C$2:$C$4,MATCH(B105,Raw_Suppliers!$A$2:$A$4,0)),"")</f>
        <v/>
      </c>
      <c r="R105" s="6">
        <f>Q105&amp;"|"&amp;D105</f>
        <v/>
      </c>
      <c r="S105" s="28">
        <f>IFERROR(INDEX(Raw_Tariff_Ref!$H$2:$H$10,MATCH(R105,Raw_Tariff_Ref!$I$2:$I$10,0)),0)</f>
        <v/>
      </c>
      <c r="T105" s="27">
        <f>IF(G105="","",G105*F105)</f>
        <v/>
      </c>
      <c r="U105" s="27">
        <f>IF(G105="","",G105*(1+S105))</f>
        <v/>
      </c>
      <c r="V105" s="27">
        <f>IF(U105="","",U105*F105)</f>
        <v/>
      </c>
      <c r="W105" s="6">
        <f>IF(COUNTIF($A$2:A105,A105)=1,1,0)</f>
        <v/>
      </c>
    </row>
    <row r="106">
      <c r="A106" s="6" t="inlineStr">
        <is>
          <t>PO-1122</t>
        </is>
      </c>
      <c r="B106" s="6" t="inlineStr">
        <is>
          <t>SUP-002</t>
        </is>
      </c>
      <c r="C106" s="6" t="inlineStr">
        <is>
          <t>gpu servers</t>
        </is>
      </c>
      <c r="D106" s="6" t="n">
        <v>8471.5</v>
      </c>
      <c r="E106" s="26" t="n">
        <v>45824</v>
      </c>
      <c r="F106" s="6" t="n">
        <v>12</v>
      </c>
      <c r="G106" s="27" t="n">
        <v>21113.29</v>
      </c>
      <c r="H106" s="6" t="inlineStr">
        <is>
          <t>FOB</t>
        </is>
      </c>
      <c r="I106" s="6" t="inlineStr">
        <is>
          <t>Truck</t>
        </is>
      </c>
      <c r="J106" s="26" t="n">
        <v>45842</v>
      </c>
      <c r="K106" s="26" t="n">
        <v>45842</v>
      </c>
      <c r="L106" s="6" t="n">
        <v>2</v>
      </c>
      <c r="M106" s="6" t="inlineStr">
        <is>
          <t>N</t>
        </is>
      </c>
      <c r="N106" s="6" t="inlineStr">
        <is>
          <t>Delivered</t>
        </is>
      </c>
      <c r="O106" s="6">
        <f>IF(K106="",0,K106-E106)</f>
        <v/>
      </c>
      <c r="P106" s="6">
        <f>IF(N106&lt;&gt;"Delivered","",IF(K106&lt;=J106,1,0))</f>
        <v/>
      </c>
      <c r="Q106" s="6">
        <f>IFERROR(INDEX(Raw_Suppliers!$C$2:$C$4,MATCH(B106,Raw_Suppliers!$A$2:$A$4,0)),"")</f>
        <v/>
      </c>
      <c r="R106" s="6">
        <f>Q106&amp;"|"&amp;D106</f>
        <v/>
      </c>
      <c r="S106" s="28">
        <f>IFERROR(INDEX(Raw_Tariff_Ref!$H$2:$H$10,MATCH(R106,Raw_Tariff_Ref!$I$2:$I$10,0)),0)</f>
        <v/>
      </c>
      <c r="T106" s="27">
        <f>IF(G106="","",G106*F106)</f>
        <v/>
      </c>
      <c r="U106" s="27">
        <f>IF(G106="","",G106*(1+S106))</f>
        <v/>
      </c>
      <c r="V106" s="27">
        <f>IF(U106="","",U106*F106)</f>
        <v/>
      </c>
      <c r="W106" s="6">
        <f>IF(COUNTIF($A$2:A106,A106)=1,1,0)</f>
        <v/>
      </c>
    </row>
    <row r="107">
      <c r="A107" s="6" t="inlineStr">
        <is>
          <t>PO-1316</t>
        </is>
      </c>
      <c r="B107" s="6" t="inlineStr">
        <is>
          <t>SUP-002</t>
        </is>
      </c>
      <c r="C107" s="6" t="inlineStr">
        <is>
          <t>Network Switches</t>
        </is>
      </c>
      <c r="D107" s="6" t="n">
        <v>8517.620000000001</v>
      </c>
      <c r="E107" s="26" t="n">
        <v>45826</v>
      </c>
      <c r="F107" s="6" t="n">
        <v>8</v>
      </c>
      <c r="G107" s="27" t="n">
        <v>3634.75</v>
      </c>
      <c r="H107" s="6" t="inlineStr">
        <is>
          <t>FOB</t>
        </is>
      </c>
      <c r="I107" s="6" t="inlineStr">
        <is>
          <t>Truck</t>
        </is>
      </c>
      <c r="J107" s="26" t="n">
        <v>45848</v>
      </c>
      <c r="K107" s="26" t="n">
        <v>45848</v>
      </c>
      <c r="L107" s="6" t="n">
        <v>4</v>
      </c>
      <c r="M107" s="6" t="inlineStr">
        <is>
          <t>N</t>
        </is>
      </c>
      <c r="N107" s="6" t="inlineStr">
        <is>
          <t>Delivered</t>
        </is>
      </c>
      <c r="O107" s="6">
        <f>IF(K107="",0,K107-E107)</f>
        <v/>
      </c>
      <c r="P107" s="6">
        <f>IF(N107&lt;&gt;"Delivered","",IF(K107&lt;=J107,1,0))</f>
        <v/>
      </c>
      <c r="Q107" s="6">
        <f>IFERROR(INDEX(Raw_Suppliers!$C$2:$C$4,MATCH(B107,Raw_Suppliers!$A$2:$A$4,0)),"")</f>
        <v/>
      </c>
      <c r="R107" s="6">
        <f>Q107&amp;"|"&amp;D107</f>
        <v/>
      </c>
      <c r="S107" s="28">
        <f>IFERROR(INDEX(Raw_Tariff_Ref!$H$2:$H$10,MATCH(R107,Raw_Tariff_Ref!$I$2:$I$10,0)),0)</f>
        <v/>
      </c>
      <c r="T107" s="27">
        <f>IF(G107="","",G107*F107)</f>
        <v/>
      </c>
      <c r="U107" s="27">
        <f>IF(G107="","",G107*(1+S107))</f>
        <v/>
      </c>
      <c r="V107" s="27">
        <f>IF(U107="","",U107*F107)</f>
        <v/>
      </c>
      <c r="W107" s="6">
        <f>IF(COUNTIF($A$2:A107,A107)=1,1,0)</f>
        <v/>
      </c>
    </row>
    <row r="108">
      <c r="A108" s="6" t="inlineStr">
        <is>
          <t>PO-1057</t>
        </is>
      </c>
      <c r="B108" s="6" t="inlineStr">
        <is>
          <t>SUP-001</t>
        </is>
      </c>
      <c r="C108" s="6" t="inlineStr">
        <is>
          <t>GPU Servers</t>
        </is>
      </c>
      <c r="D108" s="6" t="n">
        <v>8471.5</v>
      </c>
      <c r="E108" s="26" t="n">
        <v>45830</v>
      </c>
      <c r="F108" s="6" t="n">
        <v>40</v>
      </c>
      <c r="G108" s="27" t="n">
        <v>21062.65</v>
      </c>
      <c r="H108" s="6" t="inlineStr">
        <is>
          <t>DDP</t>
        </is>
      </c>
      <c r="I108" s="6" t="inlineStr">
        <is>
          <t>Air</t>
        </is>
      </c>
      <c r="J108" s="26" t="n">
        <v>45841</v>
      </c>
      <c r="K108" s="26" t="n">
        <v>45845</v>
      </c>
      <c r="L108" s="6" t="n">
        <v>1</v>
      </c>
      <c r="M108" s="6" t="inlineStr">
        <is>
          <t>Y</t>
        </is>
      </c>
      <c r="N108" s="6" t="inlineStr">
        <is>
          <t>Delivered</t>
        </is>
      </c>
      <c r="O108" s="6">
        <f>IF(K108="",0,K108-E108)</f>
        <v/>
      </c>
      <c r="P108" s="6">
        <f>IF(N108&lt;&gt;"Delivered","",IF(K108&lt;=J108,1,0))</f>
        <v/>
      </c>
      <c r="Q108" s="6">
        <f>IFERROR(INDEX(Raw_Suppliers!$C$2:$C$4,MATCH(B108,Raw_Suppliers!$A$2:$A$4,0)),"")</f>
        <v/>
      </c>
      <c r="R108" s="6">
        <f>Q108&amp;"|"&amp;D108</f>
        <v/>
      </c>
      <c r="S108" s="28">
        <f>IFERROR(INDEX(Raw_Tariff_Ref!$H$2:$H$10,MATCH(R108,Raw_Tariff_Ref!$I$2:$I$10,0)),0)</f>
        <v/>
      </c>
      <c r="T108" s="27">
        <f>IF(G108="","",G108*F108)</f>
        <v/>
      </c>
      <c r="U108" s="27">
        <f>IF(G108="","",G108*(1+S108))</f>
        <v/>
      </c>
      <c r="V108" s="27">
        <f>IF(U108="","",U108*F108)</f>
        <v/>
      </c>
      <c r="W108" s="6">
        <f>IF(COUNTIF($A$2:A108,A108)=1,1,0)</f>
        <v/>
      </c>
    </row>
    <row r="109">
      <c r="A109" s="6" t="inlineStr">
        <is>
          <t>PO-1329</t>
        </is>
      </c>
      <c r="B109" s="6" t="inlineStr">
        <is>
          <t>SUP-003</t>
        </is>
      </c>
      <c r="C109" s="6" t="inlineStr">
        <is>
          <t>Network Switches</t>
        </is>
      </c>
      <c r="D109" s="6" t="n">
        <v>8517.620000000001</v>
      </c>
      <c r="E109" s="26" t="n">
        <v>45831</v>
      </c>
      <c r="F109" s="6" t="n">
        <v>5</v>
      </c>
      <c r="G109" s="27" t="n">
        <v>2684.6</v>
      </c>
      <c r="H109" s="6" t="inlineStr">
        <is>
          <t>FOB</t>
        </is>
      </c>
      <c r="I109" s="6" t="inlineStr">
        <is>
          <t>Ocean</t>
        </is>
      </c>
      <c r="J109" s="26" t="n">
        <v>45861</v>
      </c>
      <c r="K109" s="26" t="n">
        <v>45860</v>
      </c>
      <c r="L109" s="6" t="n">
        <v>6</v>
      </c>
      <c r="M109" s="6" t="inlineStr">
        <is>
          <t>Y</t>
        </is>
      </c>
      <c r="N109" s="6" t="inlineStr">
        <is>
          <t>Delivered</t>
        </is>
      </c>
      <c r="O109" s="6">
        <f>IF(K109="",0,K109-E109)</f>
        <v/>
      </c>
      <c r="P109" s="6">
        <f>IF(N109&lt;&gt;"Delivered","",IF(K109&lt;=J109,1,0))</f>
        <v/>
      </c>
      <c r="Q109" s="6">
        <f>IFERROR(INDEX(Raw_Suppliers!$C$2:$C$4,MATCH(B109,Raw_Suppliers!$A$2:$A$4,0)),"")</f>
        <v/>
      </c>
      <c r="R109" s="6">
        <f>Q109&amp;"|"&amp;D109</f>
        <v/>
      </c>
      <c r="S109" s="28">
        <f>IFERROR(INDEX(Raw_Tariff_Ref!$H$2:$H$10,MATCH(R109,Raw_Tariff_Ref!$I$2:$I$10,0)),0)</f>
        <v/>
      </c>
      <c r="T109" s="27">
        <f>IF(G109="","",G109*F109)</f>
        <v/>
      </c>
      <c r="U109" s="27">
        <f>IF(G109="","",G109*(1+S109))</f>
        <v/>
      </c>
      <c r="V109" s="27">
        <f>IF(U109="","",U109*F109)</f>
        <v/>
      </c>
      <c r="W109" s="6">
        <f>IF(COUNTIF($A$2:A109,A109)=1,1,0)</f>
        <v/>
      </c>
    </row>
    <row r="110">
      <c r="A110" s="6" t="inlineStr">
        <is>
          <t>PO-1281</t>
        </is>
      </c>
      <c r="B110" s="6" t="inlineStr">
        <is>
          <t>SUP-002</t>
        </is>
      </c>
      <c r="C110" s="6" t="inlineStr">
        <is>
          <t>Network Switches</t>
        </is>
      </c>
      <c r="D110" s="6" t="n">
        <v>8517.620000000001</v>
      </c>
      <c r="E110" s="26" t="n">
        <v>45831</v>
      </c>
      <c r="F110" s="6" t="n">
        <v>8</v>
      </c>
      <c r="G110" s="27" t="n">
        <v>4217.44</v>
      </c>
      <c r="H110" s="6" t="inlineStr">
        <is>
          <t>FOB</t>
        </is>
      </c>
      <c r="I110" s="6" t="inlineStr">
        <is>
          <t>Ocean</t>
        </is>
      </c>
      <c r="J110" s="26" t="n">
        <v>45850</v>
      </c>
      <c r="K110" s="26" t="n">
        <v>45850</v>
      </c>
      <c r="L110" s="6" t="n">
        <v>4</v>
      </c>
      <c r="M110" s="6" t="inlineStr">
        <is>
          <t>N</t>
        </is>
      </c>
      <c r="N110" s="6" t="inlineStr">
        <is>
          <t>Delivered</t>
        </is>
      </c>
      <c r="O110" s="6">
        <f>IF(K110="",0,K110-E110)</f>
        <v/>
      </c>
      <c r="P110" s="6">
        <f>IF(N110&lt;&gt;"Delivered","",IF(K110&lt;=J110,1,0))</f>
        <v/>
      </c>
      <c r="Q110" s="6">
        <f>IFERROR(INDEX(Raw_Suppliers!$C$2:$C$4,MATCH(B110,Raw_Suppliers!$A$2:$A$4,0)),"")</f>
        <v/>
      </c>
      <c r="R110" s="6">
        <f>Q110&amp;"|"&amp;D110</f>
        <v/>
      </c>
      <c r="S110" s="28">
        <f>IFERROR(INDEX(Raw_Tariff_Ref!$H$2:$H$10,MATCH(R110,Raw_Tariff_Ref!$I$2:$I$10,0)),0)</f>
        <v/>
      </c>
      <c r="T110" s="27">
        <f>IF(G110="","",G110*F110)</f>
        <v/>
      </c>
      <c r="U110" s="27">
        <f>IF(G110="","",G110*(1+S110))</f>
        <v/>
      </c>
      <c r="V110" s="27">
        <f>IF(U110="","",U110*F110)</f>
        <v/>
      </c>
      <c r="W110" s="6">
        <f>IF(COUNTIF($A$2:A110,A110)=1,1,0)</f>
        <v/>
      </c>
    </row>
    <row r="111">
      <c r="A111" s="6" t="inlineStr">
        <is>
          <t>PO-1256</t>
        </is>
      </c>
      <c r="B111" s="6" t="inlineStr">
        <is>
          <t>SUP-003</t>
        </is>
      </c>
      <c r="C111" s="6" t="inlineStr">
        <is>
          <t>GPU Servers</t>
        </is>
      </c>
      <c r="D111" s="6" t="n">
        <v>8471.5</v>
      </c>
      <c r="E111" s="26" t="n">
        <v>45831</v>
      </c>
      <c r="F111" s="6" t="n">
        <v>25</v>
      </c>
      <c r="G111" s="27" t="n">
        <v>16939.35</v>
      </c>
      <c r="H111" s="6" t="inlineStr">
        <is>
          <t>EXW</t>
        </is>
      </c>
      <c r="I111" s="6" t="inlineStr">
        <is>
          <t>Air</t>
        </is>
      </c>
      <c r="J111" s="26" t="n">
        <v>45879</v>
      </c>
      <c r="K111" s="26" t="n">
        <v>45896</v>
      </c>
      <c r="L111" s="6" t="n">
        <v>11</v>
      </c>
      <c r="M111" s="6" t="inlineStr">
        <is>
          <t>N</t>
        </is>
      </c>
      <c r="N111" s="6" t="inlineStr">
        <is>
          <t>Delivered</t>
        </is>
      </c>
      <c r="O111" s="6">
        <f>IF(K111="",0,K111-E111)</f>
        <v/>
      </c>
      <c r="P111" s="6">
        <f>IF(N111&lt;&gt;"Delivered","",IF(K111&lt;=J111,1,0))</f>
        <v/>
      </c>
      <c r="Q111" s="6">
        <f>IFERROR(INDEX(Raw_Suppliers!$C$2:$C$4,MATCH(B111,Raw_Suppliers!$A$2:$A$4,0)),"")</f>
        <v/>
      </c>
      <c r="R111" s="6">
        <f>Q111&amp;"|"&amp;D111</f>
        <v/>
      </c>
      <c r="S111" s="28">
        <f>IFERROR(INDEX(Raw_Tariff_Ref!$H$2:$H$10,MATCH(R111,Raw_Tariff_Ref!$I$2:$I$10,0)),0)</f>
        <v/>
      </c>
      <c r="T111" s="27">
        <f>IF(G111="","",G111*F111)</f>
        <v/>
      </c>
      <c r="U111" s="27">
        <f>IF(G111="","",G111*(1+S111))</f>
        <v/>
      </c>
      <c r="V111" s="27">
        <f>IF(U111="","",U111*F111)</f>
        <v/>
      </c>
      <c r="W111" s="6">
        <f>IF(COUNTIF($A$2:A111,A111)=1,1,0)</f>
        <v/>
      </c>
    </row>
    <row r="112">
      <c r="A112" s="6" t="inlineStr">
        <is>
          <t>PO-1277</t>
        </is>
      </c>
      <c r="B112" s="6" t="inlineStr">
        <is>
          <t>SUP-001</t>
        </is>
      </c>
      <c r="C112" s="6" t="inlineStr">
        <is>
          <t>PDU / MEP Equipment</t>
        </is>
      </c>
      <c r="D112" s="6" t="n">
        <v>8537.1</v>
      </c>
      <c r="E112" s="26" t="n">
        <v>45832</v>
      </c>
      <c r="F112" s="6" t="n">
        <v>10</v>
      </c>
      <c r="G112" s="27" t="n">
        <v>3120.59</v>
      </c>
      <c r="H112" s="6" t="inlineStr">
        <is>
          <t>FOB</t>
        </is>
      </c>
      <c r="I112" s="6" t="inlineStr">
        <is>
          <t>Air</t>
        </is>
      </c>
      <c r="J112" s="26" t="n">
        <v>45842</v>
      </c>
      <c r="K112" s="26" t="n">
        <v>45842</v>
      </c>
      <c r="L112" s="6" t="n">
        <v>0</v>
      </c>
      <c r="M112" s="6" t="inlineStr">
        <is>
          <t>N</t>
        </is>
      </c>
      <c r="N112" s="6" t="inlineStr">
        <is>
          <t>Delivered</t>
        </is>
      </c>
      <c r="O112" s="6">
        <f>IF(K112="",0,K112-E112)</f>
        <v/>
      </c>
      <c r="P112" s="6">
        <f>IF(N112&lt;&gt;"Delivered","",IF(K112&lt;=J112,1,0))</f>
        <v/>
      </c>
      <c r="Q112" s="6">
        <f>IFERROR(INDEX(Raw_Suppliers!$C$2:$C$4,MATCH(B112,Raw_Suppliers!$A$2:$A$4,0)),"")</f>
        <v/>
      </c>
      <c r="R112" s="6">
        <f>Q112&amp;"|"&amp;D112</f>
        <v/>
      </c>
      <c r="S112" s="28">
        <f>IFERROR(INDEX(Raw_Tariff_Ref!$H$2:$H$10,MATCH(R112,Raw_Tariff_Ref!$I$2:$I$10,0)),0)</f>
        <v/>
      </c>
      <c r="T112" s="27">
        <f>IF(G112="","",G112*F112)</f>
        <v/>
      </c>
      <c r="U112" s="27">
        <f>IF(G112="","",G112*(1+S112))</f>
        <v/>
      </c>
      <c r="V112" s="27">
        <f>IF(U112="","",U112*F112)</f>
        <v/>
      </c>
      <c r="W112" s="6">
        <f>IF(COUNTIF($A$2:A112,A112)=1,1,0)</f>
        <v/>
      </c>
    </row>
    <row r="113">
      <c r="A113" s="6" t="inlineStr">
        <is>
          <t>PO-1326</t>
        </is>
      </c>
      <c r="B113" s="6" t="inlineStr">
        <is>
          <t>SUP-002</t>
        </is>
      </c>
      <c r="C113" s="6" t="inlineStr">
        <is>
          <t>GPU Servers</t>
        </is>
      </c>
      <c r="D113" s="6" t="n">
        <v>8471.5</v>
      </c>
      <c r="E113" s="26" t="n">
        <v>45833</v>
      </c>
      <c r="F113" s="6" t="n">
        <v>16</v>
      </c>
      <c r="G113" s="27" t="n">
        <v>17329.11</v>
      </c>
      <c r="H113" s="6" t="inlineStr">
        <is>
          <t>CIF</t>
        </is>
      </c>
      <c r="I113" s="6" t="inlineStr">
        <is>
          <t>Truck</t>
        </is>
      </c>
      <c r="J113" s="26" t="n">
        <v>45852</v>
      </c>
      <c r="K113" s="26" t="n">
        <v>45868</v>
      </c>
      <c r="L113" s="6" t="n">
        <v>4</v>
      </c>
      <c r="M113" s="6" t="inlineStr">
        <is>
          <t>N</t>
        </is>
      </c>
      <c r="N113" s="6" t="inlineStr">
        <is>
          <t>Delivered</t>
        </is>
      </c>
      <c r="O113" s="6">
        <f>IF(K113="",0,K113-E113)</f>
        <v/>
      </c>
      <c r="P113" s="6">
        <f>IF(N113&lt;&gt;"Delivered","",IF(K113&lt;=J113,1,0))</f>
        <v/>
      </c>
      <c r="Q113" s="6">
        <f>IFERROR(INDEX(Raw_Suppliers!$C$2:$C$4,MATCH(B113,Raw_Suppliers!$A$2:$A$4,0)),"")</f>
        <v/>
      </c>
      <c r="R113" s="6">
        <f>Q113&amp;"|"&amp;D113</f>
        <v/>
      </c>
      <c r="S113" s="28">
        <f>IFERROR(INDEX(Raw_Tariff_Ref!$H$2:$H$10,MATCH(R113,Raw_Tariff_Ref!$I$2:$I$10,0)),0)</f>
        <v/>
      </c>
      <c r="T113" s="27">
        <f>IF(G113="","",G113*F113)</f>
        <v/>
      </c>
      <c r="U113" s="27">
        <f>IF(G113="","",G113*(1+S113))</f>
        <v/>
      </c>
      <c r="V113" s="27">
        <f>IF(U113="","",U113*F113)</f>
        <v/>
      </c>
      <c r="W113" s="6">
        <f>IF(COUNTIF($A$2:A113,A113)=1,1,0)</f>
        <v/>
      </c>
    </row>
    <row r="114">
      <c r="A114" s="6" t="inlineStr">
        <is>
          <t>PO-1294</t>
        </is>
      </c>
      <c r="B114" s="6" t="inlineStr">
        <is>
          <t>SUP-002</t>
        </is>
      </c>
      <c r="C114" s="6" t="inlineStr">
        <is>
          <t>GPU Servers</t>
        </is>
      </c>
      <c r="D114" s="6" t="n">
        <v>8471.5</v>
      </c>
      <c r="E114" s="26" t="n">
        <v>45833</v>
      </c>
      <c r="F114" s="6" t="n">
        <v>4</v>
      </c>
      <c r="G114" s="27" t="n">
        <v>18194.14</v>
      </c>
      <c r="H114" s="6" t="inlineStr">
        <is>
          <t>FOB</t>
        </is>
      </c>
      <c r="I114" s="6" t="inlineStr">
        <is>
          <t>Truck</t>
        </is>
      </c>
      <c r="J114" s="26" t="n">
        <v>45854</v>
      </c>
      <c r="K114" s="26" t="n">
        <v>45853</v>
      </c>
      <c r="L114" s="6" t="n">
        <v>1</v>
      </c>
      <c r="M114" s="6" t="inlineStr">
        <is>
          <t>N</t>
        </is>
      </c>
      <c r="N114" s="6" t="inlineStr">
        <is>
          <t>Delivered</t>
        </is>
      </c>
      <c r="O114" s="6">
        <f>IF(K114="",0,K114-E114)</f>
        <v/>
      </c>
      <c r="P114" s="6">
        <f>IF(N114&lt;&gt;"Delivered","",IF(K114&lt;=J114,1,0))</f>
        <v/>
      </c>
      <c r="Q114" s="6">
        <f>IFERROR(INDEX(Raw_Suppliers!$C$2:$C$4,MATCH(B114,Raw_Suppliers!$A$2:$A$4,0)),"")</f>
        <v/>
      </c>
      <c r="R114" s="6">
        <f>Q114&amp;"|"&amp;D114</f>
        <v/>
      </c>
      <c r="S114" s="28">
        <f>IFERROR(INDEX(Raw_Tariff_Ref!$H$2:$H$10,MATCH(R114,Raw_Tariff_Ref!$I$2:$I$10,0)),0)</f>
        <v/>
      </c>
      <c r="T114" s="27">
        <f>IF(G114="","",G114*F114)</f>
        <v/>
      </c>
      <c r="U114" s="27">
        <f>IF(G114="","",G114*(1+S114))</f>
        <v/>
      </c>
      <c r="V114" s="27">
        <f>IF(U114="","",U114*F114)</f>
        <v/>
      </c>
      <c r="W114" s="6">
        <f>IF(COUNTIF($A$2:A114,A114)=1,1,0)</f>
        <v/>
      </c>
    </row>
    <row r="115">
      <c r="A115" s="6" t="inlineStr">
        <is>
          <t>PO-1292</t>
        </is>
      </c>
      <c r="B115" s="6" t="inlineStr">
        <is>
          <t>SUP-002</t>
        </is>
      </c>
      <c r="C115" s="6" t="inlineStr">
        <is>
          <t>GPU Servers</t>
        </is>
      </c>
      <c r="D115" s="6" t="n">
        <v>8471.5</v>
      </c>
      <c r="E115" s="26" t="n">
        <v>45833</v>
      </c>
      <c r="F115" s="6" t="n">
        <v>10</v>
      </c>
      <c r="G115" s="27" t="n">
        <v>17789.15</v>
      </c>
      <c r="H115" s="6" t="inlineStr">
        <is>
          <t>FOB</t>
        </is>
      </c>
      <c r="I115" s="6" t="inlineStr">
        <is>
          <t>Truck</t>
        </is>
      </c>
      <c r="J115" s="26" t="n">
        <v>45846</v>
      </c>
      <c r="K115" s="26" t="n">
        <v>45846</v>
      </c>
      <c r="L115" s="6" t="n">
        <v>3</v>
      </c>
      <c r="M115" s="6" t="inlineStr">
        <is>
          <t>N</t>
        </is>
      </c>
      <c r="N115" s="6" t="inlineStr">
        <is>
          <t>Delivered</t>
        </is>
      </c>
      <c r="O115" s="6">
        <f>IF(K115="",0,K115-E115)</f>
        <v/>
      </c>
      <c r="P115" s="6">
        <f>IF(N115&lt;&gt;"Delivered","",IF(K115&lt;=J115,1,0))</f>
        <v/>
      </c>
      <c r="Q115" s="6">
        <f>IFERROR(INDEX(Raw_Suppliers!$C$2:$C$4,MATCH(B115,Raw_Suppliers!$A$2:$A$4,0)),"")</f>
        <v/>
      </c>
      <c r="R115" s="6">
        <f>Q115&amp;"|"&amp;D115</f>
        <v/>
      </c>
      <c r="S115" s="28">
        <f>IFERROR(INDEX(Raw_Tariff_Ref!$H$2:$H$10,MATCH(R115,Raw_Tariff_Ref!$I$2:$I$10,0)),0)</f>
        <v/>
      </c>
      <c r="T115" s="27">
        <f>IF(G115="","",G115*F115)</f>
        <v/>
      </c>
      <c r="U115" s="27">
        <f>IF(G115="","",G115*(1+S115))</f>
        <v/>
      </c>
      <c r="V115" s="27">
        <f>IF(U115="","",U115*F115)</f>
        <v/>
      </c>
      <c r="W115" s="6">
        <f>IF(COUNTIF($A$2:A115,A115)=1,1,0)</f>
        <v/>
      </c>
    </row>
    <row r="116">
      <c r="A116" s="6" t="inlineStr">
        <is>
          <t>PO-1244</t>
        </is>
      </c>
      <c r="B116" s="6" t="inlineStr">
        <is>
          <t>SUP-002</t>
        </is>
      </c>
      <c r="C116" s="6" t="inlineStr">
        <is>
          <t>Network Switches</t>
        </is>
      </c>
      <c r="D116" s="6" t="n">
        <v>8517.620000000001</v>
      </c>
      <c r="E116" s="26" t="n">
        <v>45834</v>
      </c>
      <c r="F116" s="6" t="n">
        <v>10</v>
      </c>
      <c r="G116" s="27" t="n">
        <v>3338.47</v>
      </c>
      <c r="H116" s="6" t="inlineStr">
        <is>
          <t>FOB</t>
        </is>
      </c>
      <c r="I116" s="6" t="inlineStr">
        <is>
          <t>Ocean</t>
        </is>
      </c>
      <c r="J116" s="26" t="n">
        <v>45845</v>
      </c>
      <c r="K116" s="26" t="n">
        <v>45844</v>
      </c>
      <c r="L116" s="6" t="n">
        <v>3</v>
      </c>
      <c r="M116" s="6" t="inlineStr">
        <is>
          <t>N</t>
        </is>
      </c>
      <c r="N116" s="6" t="inlineStr">
        <is>
          <t>Delivered</t>
        </is>
      </c>
      <c r="O116" s="6">
        <f>IF(K116="",0,K116-E116)</f>
        <v/>
      </c>
      <c r="P116" s="6">
        <f>IF(N116&lt;&gt;"Delivered","",IF(K116&lt;=J116,1,0))</f>
        <v/>
      </c>
      <c r="Q116" s="6">
        <f>IFERROR(INDEX(Raw_Suppliers!$C$2:$C$4,MATCH(B116,Raw_Suppliers!$A$2:$A$4,0)),"")</f>
        <v/>
      </c>
      <c r="R116" s="6">
        <f>Q116&amp;"|"&amp;D116</f>
        <v/>
      </c>
      <c r="S116" s="28">
        <f>IFERROR(INDEX(Raw_Tariff_Ref!$H$2:$H$10,MATCH(R116,Raw_Tariff_Ref!$I$2:$I$10,0)),0)</f>
        <v/>
      </c>
      <c r="T116" s="27">
        <f>IF(G116="","",G116*F116)</f>
        <v/>
      </c>
      <c r="U116" s="27">
        <f>IF(G116="","",G116*(1+S116))</f>
        <v/>
      </c>
      <c r="V116" s="27">
        <f>IF(U116="","",U116*F116)</f>
        <v/>
      </c>
      <c r="W116" s="6">
        <f>IF(COUNTIF($A$2:A116,A116)=1,1,0)</f>
        <v/>
      </c>
    </row>
    <row r="117">
      <c r="A117" s="6" t="inlineStr">
        <is>
          <t>PO-1265</t>
        </is>
      </c>
      <c r="B117" s="6" t="inlineStr">
        <is>
          <t>SUP-001</t>
        </is>
      </c>
      <c r="C117" s="6" t="inlineStr">
        <is>
          <t>PDU / MEP Equipment</t>
        </is>
      </c>
      <c r="D117" s="6" t="n">
        <v>8537.1</v>
      </c>
      <c r="E117" s="26" t="n">
        <v>45835</v>
      </c>
      <c r="F117" s="6" t="n">
        <v>20</v>
      </c>
      <c r="G117" s="27" t="n">
        <v>2527.41</v>
      </c>
      <c r="H117" s="6" t="inlineStr">
        <is>
          <t>FOB</t>
        </is>
      </c>
      <c r="I117" s="6" t="inlineStr">
        <is>
          <t>Truck</t>
        </is>
      </c>
      <c r="J117" s="26" t="n">
        <v>45849</v>
      </c>
      <c r="K117" s="26" t="n">
        <v>45849</v>
      </c>
      <c r="L117" s="6" t="n">
        <v>1</v>
      </c>
      <c r="M117" s="6" t="inlineStr">
        <is>
          <t>N</t>
        </is>
      </c>
      <c r="N117" s="6" t="inlineStr">
        <is>
          <t>Delivered</t>
        </is>
      </c>
      <c r="O117" s="6">
        <f>IF(K117="",0,K117-E117)</f>
        <v/>
      </c>
      <c r="P117" s="6">
        <f>IF(N117&lt;&gt;"Delivered","",IF(K117&lt;=J117,1,0))</f>
        <v/>
      </c>
      <c r="Q117" s="6">
        <f>IFERROR(INDEX(Raw_Suppliers!$C$2:$C$4,MATCH(B117,Raw_Suppliers!$A$2:$A$4,0)),"")</f>
        <v/>
      </c>
      <c r="R117" s="6">
        <f>Q117&amp;"|"&amp;D117</f>
        <v/>
      </c>
      <c r="S117" s="28">
        <f>IFERROR(INDEX(Raw_Tariff_Ref!$H$2:$H$10,MATCH(R117,Raw_Tariff_Ref!$I$2:$I$10,0)),0)</f>
        <v/>
      </c>
      <c r="T117" s="27">
        <f>IF(G117="","",G117*F117)</f>
        <v/>
      </c>
      <c r="U117" s="27">
        <f>IF(G117="","",G117*(1+S117))</f>
        <v/>
      </c>
      <c r="V117" s="27">
        <f>IF(U117="","",U117*F117)</f>
        <v/>
      </c>
      <c r="W117" s="6">
        <f>IF(COUNTIF($A$2:A117,A117)=1,1,0)</f>
        <v/>
      </c>
    </row>
    <row r="118">
      <c r="A118" s="6" t="inlineStr">
        <is>
          <t>PO-1269</t>
        </is>
      </c>
      <c r="B118" s="6" t="inlineStr">
        <is>
          <t>SUP-002</t>
        </is>
      </c>
      <c r="C118" s="6" t="inlineStr">
        <is>
          <t>GPU Servers</t>
        </is>
      </c>
      <c r="D118" s="6" t="n">
        <v>8471.5</v>
      </c>
      <c r="E118" s="26" t="n">
        <v>45835</v>
      </c>
      <c r="F118" s="6" t="n">
        <v>10</v>
      </c>
      <c r="G118" s="27" t="n">
        <v>18239.91</v>
      </c>
      <c r="H118" s="6" t="inlineStr">
        <is>
          <t>CIF</t>
        </is>
      </c>
      <c r="I118" s="6" t="inlineStr">
        <is>
          <t>Truck</t>
        </is>
      </c>
      <c r="J118" s="26" t="n">
        <v>45848</v>
      </c>
      <c r="K118" s="26" t="n">
        <v>45848</v>
      </c>
      <c r="L118" s="6" t="n">
        <v>2</v>
      </c>
      <c r="M118" s="6" t="inlineStr">
        <is>
          <t>N</t>
        </is>
      </c>
      <c r="N118" s="6" t="inlineStr">
        <is>
          <t>Delivered</t>
        </is>
      </c>
      <c r="O118" s="6">
        <f>IF(K118="",0,K118-E118)</f>
        <v/>
      </c>
      <c r="P118" s="6">
        <f>IF(N118&lt;&gt;"Delivered","",IF(K118&lt;=J118,1,0))</f>
        <v/>
      </c>
      <c r="Q118" s="6">
        <f>IFERROR(INDEX(Raw_Suppliers!$C$2:$C$4,MATCH(B118,Raw_Suppliers!$A$2:$A$4,0)),"")</f>
        <v/>
      </c>
      <c r="R118" s="6">
        <f>Q118&amp;"|"&amp;D118</f>
        <v/>
      </c>
      <c r="S118" s="28">
        <f>IFERROR(INDEX(Raw_Tariff_Ref!$H$2:$H$10,MATCH(R118,Raw_Tariff_Ref!$I$2:$I$10,0)),0)</f>
        <v/>
      </c>
      <c r="T118" s="27">
        <f>IF(G118="","",G118*F118)</f>
        <v/>
      </c>
      <c r="U118" s="27">
        <f>IF(G118="","",G118*(1+S118))</f>
        <v/>
      </c>
      <c r="V118" s="27">
        <f>IF(U118="","",U118*F118)</f>
        <v/>
      </c>
      <c r="W118" s="6">
        <f>IF(COUNTIF($A$2:A118,A118)=1,1,0)</f>
        <v/>
      </c>
    </row>
    <row r="119">
      <c r="A119" s="6" t="inlineStr">
        <is>
          <t>PO-1262</t>
        </is>
      </c>
      <c r="B119" s="6" t="inlineStr">
        <is>
          <t>SUP-002</t>
        </is>
      </c>
      <c r="C119" s="6" t="inlineStr">
        <is>
          <t>GPU Servers</t>
        </is>
      </c>
      <c r="D119" s="6" t="n">
        <v>8471.5</v>
      </c>
      <c r="E119" s="26" t="n">
        <v>45840</v>
      </c>
      <c r="F119" s="6" t="n">
        <v>10</v>
      </c>
      <c r="G119" s="27" t="n">
        <v>17218.53</v>
      </c>
      <c r="H119" s="6" t="inlineStr">
        <is>
          <t>CIF</t>
        </is>
      </c>
      <c r="I119" s="6" t="inlineStr">
        <is>
          <t>Ocean</t>
        </is>
      </c>
      <c r="J119" s="26" t="n">
        <v>45859</v>
      </c>
      <c r="K119" s="26" t="n">
        <v>45858</v>
      </c>
      <c r="L119" s="6" t="n">
        <v>1</v>
      </c>
      <c r="M119" s="6" t="inlineStr">
        <is>
          <t>N</t>
        </is>
      </c>
      <c r="N119" s="6" t="inlineStr">
        <is>
          <t>Delivered</t>
        </is>
      </c>
      <c r="O119" s="6">
        <f>IF(K119="",0,K119-E119)</f>
        <v/>
      </c>
      <c r="P119" s="6">
        <f>IF(N119&lt;&gt;"Delivered","",IF(K119&lt;=J119,1,0))</f>
        <v/>
      </c>
      <c r="Q119" s="6">
        <f>IFERROR(INDEX(Raw_Suppliers!$C$2:$C$4,MATCH(B119,Raw_Suppliers!$A$2:$A$4,0)),"")</f>
        <v/>
      </c>
      <c r="R119" s="6">
        <f>Q119&amp;"|"&amp;D119</f>
        <v/>
      </c>
      <c r="S119" s="28">
        <f>IFERROR(INDEX(Raw_Tariff_Ref!$H$2:$H$10,MATCH(R119,Raw_Tariff_Ref!$I$2:$I$10,0)),0)</f>
        <v/>
      </c>
      <c r="T119" s="27">
        <f>IF(G119="","",G119*F119)</f>
        <v/>
      </c>
      <c r="U119" s="27">
        <f>IF(G119="","",G119*(1+S119))</f>
        <v/>
      </c>
      <c r="V119" s="27">
        <f>IF(U119="","",U119*F119)</f>
        <v/>
      </c>
      <c r="W119" s="6">
        <f>IF(COUNTIF($A$2:A119,A119)=1,1,0)</f>
        <v/>
      </c>
    </row>
    <row r="120">
      <c r="A120" s="6" t="inlineStr">
        <is>
          <t>PO-1262</t>
        </is>
      </c>
      <c r="B120" s="6" t="inlineStr">
        <is>
          <t>SUP-002</t>
        </is>
      </c>
      <c r="C120" s="6" t="inlineStr">
        <is>
          <t>GPU Servers</t>
        </is>
      </c>
      <c r="D120" s="6" t="n">
        <v>8471.5</v>
      </c>
      <c r="E120" s="26" t="n">
        <v>45840</v>
      </c>
      <c r="F120" s="6" t="n">
        <v>10</v>
      </c>
      <c r="G120" s="27" t="n">
        <v>17218.53</v>
      </c>
      <c r="H120" s="6" t="inlineStr">
        <is>
          <t>CIF</t>
        </is>
      </c>
      <c r="I120" s="6" t="inlineStr">
        <is>
          <t>Ocean</t>
        </is>
      </c>
      <c r="J120" s="26" t="n">
        <v>45859</v>
      </c>
      <c r="K120" s="26" t="n">
        <v>45858</v>
      </c>
      <c r="L120" s="6" t="n">
        <v>1</v>
      </c>
      <c r="M120" s="6" t="inlineStr">
        <is>
          <t>N</t>
        </is>
      </c>
      <c r="N120" s="6" t="inlineStr">
        <is>
          <t>Delivered</t>
        </is>
      </c>
      <c r="O120" s="6">
        <f>IF(K120="",0,K120-E120)</f>
        <v/>
      </c>
      <c r="P120" s="6">
        <f>IF(N120&lt;&gt;"Delivered","",IF(K120&lt;=J120,1,0))</f>
        <v/>
      </c>
      <c r="Q120" s="6">
        <f>IFERROR(INDEX(Raw_Suppliers!$C$2:$C$4,MATCH(B120,Raw_Suppliers!$A$2:$A$4,0)),"")</f>
        <v/>
      </c>
      <c r="R120" s="6">
        <f>Q120&amp;"|"&amp;D120</f>
        <v/>
      </c>
      <c r="S120" s="28">
        <f>IFERROR(INDEX(Raw_Tariff_Ref!$H$2:$H$10,MATCH(R120,Raw_Tariff_Ref!$I$2:$I$10,0)),0)</f>
        <v/>
      </c>
      <c r="T120" s="27">
        <f>IF(G120="","",G120*F120)</f>
        <v/>
      </c>
      <c r="U120" s="27">
        <f>IF(G120="","",G120*(1+S120))</f>
        <v/>
      </c>
      <c r="V120" s="27">
        <f>IF(U120="","",U120*F120)</f>
        <v/>
      </c>
      <c r="W120" s="6">
        <f>IF(COUNTIF($A$2:A120,A120)=1,1,0)</f>
        <v/>
      </c>
    </row>
    <row r="121">
      <c r="A121" s="6" t="inlineStr">
        <is>
          <t>PO-1041</t>
        </is>
      </c>
      <c r="B121" s="6" t="inlineStr">
        <is>
          <t>SUP-002</t>
        </is>
      </c>
      <c r="C121" s="6" t="inlineStr">
        <is>
          <t>GPU Servers</t>
        </is>
      </c>
      <c r="D121" s="6" t="n">
        <v>8471.5</v>
      </c>
      <c r="E121" s="26" t="n">
        <v>45841</v>
      </c>
      <c r="F121" s="6" t="n">
        <v>16</v>
      </c>
      <c r="G121" s="27" t="n">
        <v>18844.4</v>
      </c>
      <c r="H121" s="6" t="inlineStr">
        <is>
          <t>FOB</t>
        </is>
      </c>
      <c r="I121" s="6" t="inlineStr">
        <is>
          <t>Ocean</t>
        </is>
      </c>
      <c r="J121" s="26" t="n">
        <v>45864</v>
      </c>
      <c r="K121" s="26" t="n">
        <v>45863</v>
      </c>
      <c r="L121" s="6" t="n">
        <v>3</v>
      </c>
      <c r="M121" s="6" t="inlineStr">
        <is>
          <t>N</t>
        </is>
      </c>
      <c r="N121" s="6" t="inlineStr">
        <is>
          <t>Delivered</t>
        </is>
      </c>
      <c r="O121" s="6">
        <f>IF(K121="",0,K121-E121)</f>
        <v/>
      </c>
      <c r="P121" s="6">
        <f>IF(N121&lt;&gt;"Delivered","",IF(K121&lt;=J121,1,0))</f>
        <v/>
      </c>
      <c r="Q121" s="6">
        <f>IFERROR(INDEX(Raw_Suppliers!$C$2:$C$4,MATCH(B121,Raw_Suppliers!$A$2:$A$4,0)),"")</f>
        <v/>
      </c>
      <c r="R121" s="6">
        <f>Q121&amp;"|"&amp;D121</f>
        <v/>
      </c>
      <c r="S121" s="28">
        <f>IFERROR(INDEX(Raw_Tariff_Ref!$H$2:$H$10,MATCH(R121,Raw_Tariff_Ref!$I$2:$I$10,0)),0)</f>
        <v/>
      </c>
      <c r="T121" s="27">
        <f>IF(G121="","",G121*F121)</f>
        <v/>
      </c>
      <c r="U121" s="27">
        <f>IF(G121="","",G121*(1+S121))</f>
        <v/>
      </c>
      <c r="V121" s="27">
        <f>IF(U121="","",U121*F121)</f>
        <v/>
      </c>
      <c r="W121" s="6">
        <f>IF(COUNTIF($A$2:A121,A121)=1,1,0)</f>
        <v/>
      </c>
    </row>
    <row r="122">
      <c r="A122" s="6" t="inlineStr">
        <is>
          <t>PO-1041</t>
        </is>
      </c>
      <c r="B122" s="6" t="inlineStr">
        <is>
          <t>SUP-002</t>
        </is>
      </c>
      <c r="C122" s="6" t="inlineStr">
        <is>
          <t>GPU Servers</t>
        </is>
      </c>
      <c r="D122" s="6" t="n">
        <v>8471.5</v>
      </c>
      <c r="E122" s="26" t="n">
        <v>45841</v>
      </c>
      <c r="F122" s="6" t="n">
        <v>16</v>
      </c>
      <c r="G122" s="27" t="n">
        <v>18844.4</v>
      </c>
      <c r="H122" s="6" t="inlineStr">
        <is>
          <t>FOB</t>
        </is>
      </c>
      <c r="I122" s="6" t="inlineStr">
        <is>
          <t>Ocean</t>
        </is>
      </c>
      <c r="J122" s="26" t="n">
        <v>45864</v>
      </c>
      <c r="K122" s="26" t="n">
        <v>45863</v>
      </c>
      <c r="L122" s="6" t="n">
        <v>3</v>
      </c>
      <c r="M122" s="6" t="inlineStr">
        <is>
          <t>N</t>
        </is>
      </c>
      <c r="N122" s="6" t="inlineStr">
        <is>
          <t>Delivered</t>
        </is>
      </c>
      <c r="O122" s="6">
        <f>IF(K122="",0,K122-E122)</f>
        <v/>
      </c>
      <c r="P122" s="6">
        <f>IF(N122&lt;&gt;"Delivered","",IF(K122&lt;=J122,1,0))</f>
        <v/>
      </c>
      <c r="Q122" s="6">
        <f>IFERROR(INDEX(Raw_Suppliers!$C$2:$C$4,MATCH(B122,Raw_Suppliers!$A$2:$A$4,0)),"")</f>
        <v/>
      </c>
      <c r="R122" s="6">
        <f>Q122&amp;"|"&amp;D122</f>
        <v/>
      </c>
      <c r="S122" s="28">
        <f>IFERROR(INDEX(Raw_Tariff_Ref!$H$2:$H$10,MATCH(R122,Raw_Tariff_Ref!$I$2:$I$10,0)),0)</f>
        <v/>
      </c>
      <c r="T122" s="27">
        <f>IF(G122="","",G122*F122)</f>
        <v/>
      </c>
      <c r="U122" s="27">
        <f>IF(G122="","",G122*(1+S122))</f>
        <v/>
      </c>
      <c r="V122" s="27">
        <f>IF(U122="","",U122*F122)</f>
        <v/>
      </c>
      <c r="W122" s="6">
        <f>IF(COUNTIF($A$2:A122,A122)=1,1,0)</f>
        <v/>
      </c>
    </row>
    <row r="123">
      <c r="A123" s="6" t="inlineStr">
        <is>
          <t>PO-1291</t>
        </is>
      </c>
      <c r="B123" s="6" t="inlineStr">
        <is>
          <t>SUP-003</t>
        </is>
      </c>
      <c r="C123" s="6" t="inlineStr">
        <is>
          <t>GPU Servers</t>
        </is>
      </c>
      <c r="D123" s="6" t="n">
        <v>8471.5</v>
      </c>
      <c r="E123" s="26" t="n">
        <v>45842</v>
      </c>
      <c r="F123" s="6" t="n">
        <v>5</v>
      </c>
      <c r="G123" s="27" t="n">
        <v>16378.11</v>
      </c>
      <c r="H123" s="6" t="inlineStr">
        <is>
          <t>EXW</t>
        </is>
      </c>
      <c r="I123" s="6" t="inlineStr">
        <is>
          <t>Air</t>
        </is>
      </c>
      <c r="J123" s="26" t="n">
        <v>45868</v>
      </c>
      <c r="K123" s="26" t="n">
        <v>45868</v>
      </c>
      <c r="L123" s="6" t="n">
        <v>8</v>
      </c>
      <c r="M123" s="6" t="inlineStr">
        <is>
          <t>N</t>
        </is>
      </c>
      <c r="N123" s="6" t="inlineStr">
        <is>
          <t>Delivered</t>
        </is>
      </c>
      <c r="O123" s="6">
        <f>IF(K123="",0,K123-E123)</f>
        <v/>
      </c>
      <c r="P123" s="6">
        <f>IF(N123&lt;&gt;"Delivered","",IF(K123&lt;=J123,1,0))</f>
        <v/>
      </c>
      <c r="Q123" s="6">
        <f>IFERROR(INDEX(Raw_Suppliers!$C$2:$C$4,MATCH(B123,Raw_Suppliers!$A$2:$A$4,0)),"")</f>
        <v/>
      </c>
      <c r="R123" s="6">
        <f>Q123&amp;"|"&amp;D123</f>
        <v/>
      </c>
      <c r="S123" s="28">
        <f>IFERROR(INDEX(Raw_Tariff_Ref!$H$2:$H$10,MATCH(R123,Raw_Tariff_Ref!$I$2:$I$10,0)),0)</f>
        <v/>
      </c>
      <c r="T123" s="27">
        <f>IF(G123="","",G123*F123)</f>
        <v/>
      </c>
      <c r="U123" s="27">
        <f>IF(G123="","",G123*(1+S123))</f>
        <v/>
      </c>
      <c r="V123" s="27">
        <f>IF(U123="","",U123*F123)</f>
        <v/>
      </c>
      <c r="W123" s="6">
        <f>IF(COUNTIF($A$2:A123,A123)=1,1,0)</f>
        <v/>
      </c>
    </row>
    <row r="124">
      <c r="A124" s="6" t="inlineStr">
        <is>
          <t>PO-1126</t>
        </is>
      </c>
      <c r="B124" s="6" t="inlineStr">
        <is>
          <t>SUP-001</t>
        </is>
      </c>
      <c r="C124" s="6" t="inlineStr">
        <is>
          <t>PDU / MEP Equipment</t>
        </is>
      </c>
      <c r="D124" s="6" t="n">
        <v>8537.1</v>
      </c>
      <c r="E124" s="26" t="n">
        <v>45842</v>
      </c>
      <c r="F124" s="6" t="n">
        <v>8</v>
      </c>
      <c r="G124" s="27" t="n">
        <v>3847.44</v>
      </c>
      <c r="H124" s="6" t="inlineStr">
        <is>
          <t>DDP</t>
        </is>
      </c>
      <c r="I124" s="6" t="inlineStr">
        <is>
          <t>Truck</t>
        </is>
      </c>
      <c r="J124" s="26" t="n">
        <v>45855</v>
      </c>
      <c r="K124" s="26" t="n">
        <v>45855</v>
      </c>
      <c r="L124" s="6" t="n">
        <v>1</v>
      </c>
      <c r="M124" s="6" t="inlineStr">
        <is>
          <t>N</t>
        </is>
      </c>
      <c r="N124" s="6" t="inlineStr">
        <is>
          <t>Delivered</t>
        </is>
      </c>
      <c r="O124" s="6">
        <f>IF(K124="",0,K124-E124)</f>
        <v/>
      </c>
      <c r="P124" s="6">
        <f>IF(N124&lt;&gt;"Delivered","",IF(K124&lt;=J124,1,0))</f>
        <v/>
      </c>
      <c r="Q124" s="6">
        <f>IFERROR(INDEX(Raw_Suppliers!$C$2:$C$4,MATCH(B124,Raw_Suppliers!$A$2:$A$4,0)),"")</f>
        <v/>
      </c>
      <c r="R124" s="6">
        <f>Q124&amp;"|"&amp;D124</f>
        <v/>
      </c>
      <c r="S124" s="28">
        <f>IFERROR(INDEX(Raw_Tariff_Ref!$H$2:$H$10,MATCH(R124,Raw_Tariff_Ref!$I$2:$I$10,0)),0)</f>
        <v/>
      </c>
      <c r="T124" s="27">
        <f>IF(G124="","",G124*F124)</f>
        <v/>
      </c>
      <c r="U124" s="27">
        <f>IF(G124="","",G124*(1+S124))</f>
        <v/>
      </c>
      <c r="V124" s="27">
        <f>IF(U124="","",U124*F124)</f>
        <v/>
      </c>
      <c r="W124" s="6">
        <f>IF(COUNTIF($A$2:A124,A124)=1,1,0)</f>
        <v/>
      </c>
    </row>
    <row r="125">
      <c r="A125" s="6" t="inlineStr">
        <is>
          <t>PO-1317</t>
        </is>
      </c>
      <c r="B125" s="6" t="inlineStr">
        <is>
          <t>SUP-002</t>
        </is>
      </c>
      <c r="C125" s="6" t="inlineStr">
        <is>
          <t>Network Switches</t>
        </is>
      </c>
      <c r="D125" s="6" t="n">
        <v>8517.620000000001</v>
      </c>
      <c r="E125" s="26" t="n">
        <v>45843</v>
      </c>
      <c r="F125" s="6" t="n">
        <v>12</v>
      </c>
      <c r="G125" s="27" t="n">
        <v>4531.16</v>
      </c>
      <c r="H125" s="6" t="inlineStr">
        <is>
          <t>FOB</t>
        </is>
      </c>
      <c r="I125" s="6" t="inlineStr">
        <is>
          <t>Ocean</t>
        </is>
      </c>
      <c r="J125" s="26" t="n">
        <v>45858</v>
      </c>
      <c r="K125" s="26" t="n">
        <v>45857</v>
      </c>
      <c r="L125" s="6" t="n">
        <v>2</v>
      </c>
      <c r="M125" s="6" t="inlineStr">
        <is>
          <t>N</t>
        </is>
      </c>
      <c r="N125" s="6" t="inlineStr">
        <is>
          <t>Delivered</t>
        </is>
      </c>
      <c r="O125" s="6">
        <f>IF(K125="",0,K125-E125)</f>
        <v/>
      </c>
      <c r="P125" s="6">
        <f>IF(N125&lt;&gt;"Delivered","",IF(K125&lt;=J125,1,0))</f>
        <v/>
      </c>
      <c r="Q125" s="6">
        <f>IFERROR(INDEX(Raw_Suppliers!$C$2:$C$4,MATCH(B125,Raw_Suppliers!$A$2:$A$4,0)),"")</f>
        <v/>
      </c>
      <c r="R125" s="6">
        <f>Q125&amp;"|"&amp;D125</f>
        <v/>
      </c>
      <c r="S125" s="28">
        <f>IFERROR(INDEX(Raw_Tariff_Ref!$H$2:$H$10,MATCH(R125,Raw_Tariff_Ref!$I$2:$I$10,0)),0)</f>
        <v/>
      </c>
      <c r="T125" s="27">
        <f>IF(G125="","",G125*F125)</f>
        <v/>
      </c>
      <c r="U125" s="27">
        <f>IF(G125="","",G125*(1+S125))</f>
        <v/>
      </c>
      <c r="V125" s="27">
        <f>IF(U125="","",U125*F125)</f>
        <v/>
      </c>
      <c r="W125" s="6">
        <f>IF(COUNTIF($A$2:A125,A125)=1,1,0)</f>
        <v/>
      </c>
    </row>
    <row r="126">
      <c r="A126" s="6" t="inlineStr">
        <is>
          <t>PO-1067</t>
        </is>
      </c>
      <c r="B126" s="6" t="inlineStr">
        <is>
          <t>SUP-001</t>
        </is>
      </c>
      <c r="C126" s="6" t="inlineStr">
        <is>
          <t>PDU / MEP Equipment</t>
        </is>
      </c>
      <c r="D126" s="6" t="n">
        <v>8537.1</v>
      </c>
      <c r="E126" s="26" t="n">
        <v>45846</v>
      </c>
      <c r="F126" s="6" t="n">
        <v>25</v>
      </c>
      <c r="G126" s="27" t="n"/>
      <c r="H126" s="6" t="inlineStr">
        <is>
          <t>FOB</t>
        </is>
      </c>
      <c r="I126" s="6" t="inlineStr">
        <is>
          <t>Truck</t>
        </is>
      </c>
      <c r="J126" s="26" t="n">
        <v>45857</v>
      </c>
      <c r="K126" s="26" t="n">
        <v>45857</v>
      </c>
      <c r="L126" s="6" t="n">
        <v>1</v>
      </c>
      <c r="M126" s="6" t="inlineStr">
        <is>
          <t>N</t>
        </is>
      </c>
      <c r="N126" s="6" t="inlineStr">
        <is>
          <t>Delivered</t>
        </is>
      </c>
      <c r="O126" s="6">
        <f>IF(K126="",0,K126-E126)</f>
        <v/>
      </c>
      <c r="P126" s="6">
        <f>IF(N126&lt;&gt;"Delivered","",IF(K126&lt;=J126,1,0))</f>
        <v/>
      </c>
      <c r="Q126" s="6">
        <f>IFERROR(INDEX(Raw_Suppliers!$C$2:$C$4,MATCH(B126,Raw_Suppliers!$A$2:$A$4,0)),"")</f>
        <v/>
      </c>
      <c r="R126" s="6">
        <f>Q126&amp;"|"&amp;D126</f>
        <v/>
      </c>
      <c r="S126" s="28">
        <f>IFERROR(INDEX(Raw_Tariff_Ref!$H$2:$H$10,MATCH(R126,Raw_Tariff_Ref!$I$2:$I$10,0)),0)</f>
        <v/>
      </c>
      <c r="T126" s="27">
        <f>IF(G126="","",G126*F126)</f>
        <v/>
      </c>
      <c r="U126" s="27">
        <f>IF(G126="","",G126*(1+S126))</f>
        <v/>
      </c>
      <c r="V126" s="27">
        <f>IF(U126="","",U126*F126)</f>
        <v/>
      </c>
      <c r="W126" s="6">
        <f>IF(COUNTIF($A$2:A126,A126)=1,1,0)</f>
        <v/>
      </c>
    </row>
    <row r="127">
      <c r="A127" s="6" t="inlineStr">
        <is>
          <t>PO-1323</t>
        </is>
      </c>
      <c r="B127" s="6" t="inlineStr">
        <is>
          <t>SUP-002</t>
        </is>
      </c>
      <c r="C127" s="6" t="inlineStr">
        <is>
          <t>Network Switches</t>
        </is>
      </c>
      <c r="D127" s="6" t="n">
        <v>8517.620000000001</v>
      </c>
      <c r="E127" s="26" t="n">
        <v>45849</v>
      </c>
      <c r="F127" s="6" t="n">
        <v>8</v>
      </c>
      <c r="G127" s="27" t="n">
        <v>3480.59</v>
      </c>
      <c r="H127" s="6" t="inlineStr">
        <is>
          <t>FOB</t>
        </is>
      </c>
      <c r="I127" s="6" t="inlineStr">
        <is>
          <t>Ocean</t>
        </is>
      </c>
      <c r="J127" s="26" t="n">
        <v>45864</v>
      </c>
      <c r="K127" s="26" t="n">
        <v>45864</v>
      </c>
      <c r="L127" s="6" t="n">
        <v>2</v>
      </c>
      <c r="M127" s="6" t="inlineStr">
        <is>
          <t>N</t>
        </is>
      </c>
      <c r="N127" s="6" t="inlineStr">
        <is>
          <t>Delivered</t>
        </is>
      </c>
      <c r="O127" s="6">
        <f>IF(K127="",0,K127-E127)</f>
        <v/>
      </c>
      <c r="P127" s="6">
        <f>IF(N127&lt;&gt;"Delivered","",IF(K127&lt;=J127,1,0))</f>
        <v/>
      </c>
      <c r="Q127" s="6">
        <f>IFERROR(INDEX(Raw_Suppliers!$C$2:$C$4,MATCH(B127,Raw_Suppliers!$A$2:$A$4,0)),"")</f>
        <v/>
      </c>
      <c r="R127" s="6">
        <f>Q127&amp;"|"&amp;D127</f>
        <v/>
      </c>
      <c r="S127" s="28">
        <f>IFERROR(INDEX(Raw_Tariff_Ref!$H$2:$H$10,MATCH(R127,Raw_Tariff_Ref!$I$2:$I$10,0)),0)</f>
        <v/>
      </c>
      <c r="T127" s="27">
        <f>IF(G127="","",G127*F127)</f>
        <v/>
      </c>
      <c r="U127" s="27">
        <f>IF(G127="","",G127*(1+S127))</f>
        <v/>
      </c>
      <c r="V127" s="27">
        <f>IF(U127="","",U127*F127)</f>
        <v/>
      </c>
      <c r="W127" s="6">
        <f>IF(COUNTIF($A$2:A127,A127)=1,1,0)</f>
        <v/>
      </c>
    </row>
    <row r="128">
      <c r="A128" s="6" t="inlineStr">
        <is>
          <t>PO-1333</t>
        </is>
      </c>
      <c r="B128" s="6" t="inlineStr">
        <is>
          <t>SUP-001</t>
        </is>
      </c>
      <c r="C128" s="6" t="inlineStr">
        <is>
          <t>PDU / MEP Equipment</t>
        </is>
      </c>
      <c r="D128" s="6" t="n">
        <v>8537.1</v>
      </c>
      <c r="E128" s="26" t="n">
        <v>45852</v>
      </c>
      <c r="F128" s="6" t="n">
        <v>12</v>
      </c>
      <c r="G128" s="27" t="n"/>
      <c r="H128" s="6" t="inlineStr">
        <is>
          <t>FOB</t>
        </is>
      </c>
      <c r="I128" s="6" t="inlineStr">
        <is>
          <t>Air</t>
        </is>
      </c>
      <c r="J128" s="26" t="n">
        <v>45860</v>
      </c>
      <c r="K128" s="26" t="n">
        <v>45859</v>
      </c>
      <c r="L128" s="6" t="n">
        <v>1</v>
      </c>
      <c r="M128" s="6" t="inlineStr">
        <is>
          <t>N</t>
        </is>
      </c>
      <c r="N128" s="6" t="inlineStr">
        <is>
          <t>Delivered</t>
        </is>
      </c>
      <c r="O128" s="6">
        <f>IF(K128="",0,K128-E128)</f>
        <v/>
      </c>
      <c r="P128" s="6">
        <f>IF(N128&lt;&gt;"Delivered","",IF(K128&lt;=J128,1,0))</f>
        <v/>
      </c>
      <c r="Q128" s="6">
        <f>IFERROR(INDEX(Raw_Suppliers!$C$2:$C$4,MATCH(B128,Raw_Suppliers!$A$2:$A$4,0)),"")</f>
        <v/>
      </c>
      <c r="R128" s="6">
        <f>Q128&amp;"|"&amp;D128</f>
        <v/>
      </c>
      <c r="S128" s="28">
        <f>IFERROR(INDEX(Raw_Tariff_Ref!$H$2:$H$10,MATCH(R128,Raw_Tariff_Ref!$I$2:$I$10,0)),0)</f>
        <v/>
      </c>
      <c r="T128" s="27">
        <f>IF(G128="","",G128*F128)</f>
        <v/>
      </c>
      <c r="U128" s="27">
        <f>IF(G128="","",G128*(1+S128))</f>
        <v/>
      </c>
      <c r="V128" s="27">
        <f>IF(U128="","",U128*F128)</f>
        <v/>
      </c>
      <c r="W128" s="6">
        <f>IF(COUNTIF($A$2:A128,A128)=1,1,0)</f>
        <v/>
      </c>
    </row>
    <row r="129">
      <c r="A129" s="6" t="inlineStr">
        <is>
          <t>PO-1135</t>
        </is>
      </c>
      <c r="B129" s="6" t="inlineStr">
        <is>
          <t>SUP-003</t>
        </is>
      </c>
      <c r="C129" s="6" t="inlineStr">
        <is>
          <t>GPU Servers</t>
        </is>
      </c>
      <c r="D129" s="6" t="n">
        <v>8471.5</v>
      </c>
      <c r="E129" s="26" t="n">
        <v>45855</v>
      </c>
      <c r="F129" s="6" t="n">
        <v>25</v>
      </c>
      <c r="G129" s="27" t="n">
        <v>15636</v>
      </c>
      <c r="H129" s="6" t="inlineStr">
        <is>
          <t>EXW</t>
        </is>
      </c>
      <c r="I129" s="6" t="inlineStr">
        <is>
          <t>Air</t>
        </is>
      </c>
      <c r="J129" s="26" t="n">
        <v>45872</v>
      </c>
      <c r="K129" s="26" t="n">
        <v>45871</v>
      </c>
      <c r="L129" s="6" t="n">
        <v>4</v>
      </c>
      <c r="M129" s="6" t="inlineStr">
        <is>
          <t>N</t>
        </is>
      </c>
      <c r="N129" s="6" t="inlineStr">
        <is>
          <t>Delivered</t>
        </is>
      </c>
      <c r="O129" s="6">
        <f>IF(K129="",0,K129-E129)</f>
        <v/>
      </c>
      <c r="P129" s="6">
        <f>IF(N129&lt;&gt;"Delivered","",IF(K129&lt;=J129,1,0))</f>
        <v/>
      </c>
      <c r="Q129" s="6">
        <f>IFERROR(INDEX(Raw_Suppliers!$C$2:$C$4,MATCH(B129,Raw_Suppliers!$A$2:$A$4,0)),"")</f>
        <v/>
      </c>
      <c r="R129" s="6">
        <f>Q129&amp;"|"&amp;D129</f>
        <v/>
      </c>
      <c r="S129" s="28">
        <f>IFERROR(INDEX(Raw_Tariff_Ref!$H$2:$H$10,MATCH(R129,Raw_Tariff_Ref!$I$2:$I$10,0)),0)</f>
        <v/>
      </c>
      <c r="T129" s="27">
        <f>IF(G129="","",G129*F129)</f>
        <v/>
      </c>
      <c r="U129" s="27">
        <f>IF(G129="","",G129*(1+S129))</f>
        <v/>
      </c>
      <c r="V129" s="27">
        <f>IF(U129="","",U129*F129)</f>
        <v/>
      </c>
      <c r="W129" s="6">
        <f>IF(COUNTIF($A$2:A129,A129)=1,1,0)</f>
        <v/>
      </c>
    </row>
    <row r="130">
      <c r="A130" s="6" t="inlineStr">
        <is>
          <t>PO-1080</t>
        </is>
      </c>
      <c r="B130" s="6" t="inlineStr">
        <is>
          <t>SUP-002</t>
        </is>
      </c>
      <c r="C130" s="6" t="inlineStr">
        <is>
          <t>Network Switches</t>
        </is>
      </c>
      <c r="D130" s="6" t="n">
        <v>8517.620000000001</v>
      </c>
      <c r="E130" s="26" t="n">
        <v>45855</v>
      </c>
      <c r="F130" s="6" t="n">
        <v>20</v>
      </c>
      <c r="G130" s="27" t="n">
        <v>5067.13</v>
      </c>
      <c r="H130" s="6" t="inlineStr">
        <is>
          <t>FOB</t>
        </is>
      </c>
      <c r="I130" s="6" t="inlineStr">
        <is>
          <t>Truck</t>
        </is>
      </c>
      <c r="J130" s="26" t="n">
        <v>45869</v>
      </c>
      <c r="K130" s="26" t="n">
        <v>45869</v>
      </c>
      <c r="L130" s="6" t="n">
        <v>3</v>
      </c>
      <c r="M130" s="6" t="inlineStr">
        <is>
          <t>N</t>
        </is>
      </c>
      <c r="N130" s="6" t="inlineStr">
        <is>
          <t>Delivered</t>
        </is>
      </c>
      <c r="O130" s="6">
        <f>IF(K130="",0,K130-E130)</f>
        <v/>
      </c>
      <c r="P130" s="6">
        <f>IF(N130&lt;&gt;"Delivered","",IF(K130&lt;=J130,1,0))</f>
        <v/>
      </c>
      <c r="Q130" s="6">
        <f>IFERROR(INDEX(Raw_Suppliers!$C$2:$C$4,MATCH(B130,Raw_Suppliers!$A$2:$A$4,0)),"")</f>
        <v/>
      </c>
      <c r="R130" s="6">
        <f>Q130&amp;"|"&amp;D130</f>
        <v/>
      </c>
      <c r="S130" s="28">
        <f>IFERROR(INDEX(Raw_Tariff_Ref!$H$2:$H$10,MATCH(R130,Raw_Tariff_Ref!$I$2:$I$10,0)),0)</f>
        <v/>
      </c>
      <c r="T130" s="27">
        <f>IF(G130="","",G130*F130)</f>
        <v/>
      </c>
      <c r="U130" s="27">
        <f>IF(G130="","",G130*(1+S130))</f>
        <v/>
      </c>
      <c r="V130" s="27">
        <f>IF(U130="","",U130*F130)</f>
        <v/>
      </c>
      <c r="W130" s="6">
        <f>IF(COUNTIF($A$2:A130,A130)=1,1,0)</f>
        <v/>
      </c>
    </row>
    <row r="131">
      <c r="A131" s="6" t="inlineStr">
        <is>
          <t>PO-1066</t>
        </is>
      </c>
      <c r="B131" s="6" t="inlineStr">
        <is>
          <t>SUP-001</t>
        </is>
      </c>
      <c r="C131" s="6" t="inlineStr">
        <is>
          <t>GPU Servers</t>
        </is>
      </c>
      <c r="D131" s="6" t="n">
        <v>8471.5</v>
      </c>
      <c r="E131" s="26" t="n">
        <v>45859</v>
      </c>
      <c r="F131" s="6" t="n">
        <v>10</v>
      </c>
      <c r="G131" s="27" t="n">
        <v>20209.04</v>
      </c>
      <c r="H131" s="6" t="inlineStr">
        <is>
          <t>DDP</t>
        </is>
      </c>
      <c r="I131" s="6" t="inlineStr">
        <is>
          <t>Truck</t>
        </is>
      </c>
      <c r="J131" s="26" t="n">
        <v>45865</v>
      </c>
      <c r="K131" s="26" t="n">
        <v>45864</v>
      </c>
      <c r="L131" s="6" t="n">
        <v>0</v>
      </c>
      <c r="M131" s="6" t="inlineStr">
        <is>
          <t>N</t>
        </is>
      </c>
      <c r="N131" s="6" t="inlineStr">
        <is>
          <t>Delivered</t>
        </is>
      </c>
      <c r="O131" s="6">
        <f>IF(K131="",0,K131-E131)</f>
        <v/>
      </c>
      <c r="P131" s="6">
        <f>IF(N131&lt;&gt;"Delivered","",IF(K131&lt;=J131,1,0))</f>
        <v/>
      </c>
      <c r="Q131" s="6">
        <f>IFERROR(INDEX(Raw_Suppliers!$C$2:$C$4,MATCH(B131,Raw_Suppliers!$A$2:$A$4,0)),"")</f>
        <v/>
      </c>
      <c r="R131" s="6">
        <f>Q131&amp;"|"&amp;D131</f>
        <v/>
      </c>
      <c r="S131" s="28">
        <f>IFERROR(INDEX(Raw_Tariff_Ref!$H$2:$H$10,MATCH(R131,Raw_Tariff_Ref!$I$2:$I$10,0)),0)</f>
        <v/>
      </c>
      <c r="T131" s="27">
        <f>IF(G131="","",G131*F131)</f>
        <v/>
      </c>
      <c r="U131" s="27">
        <f>IF(G131="","",G131*(1+S131))</f>
        <v/>
      </c>
      <c r="V131" s="27">
        <f>IF(U131="","",U131*F131)</f>
        <v/>
      </c>
      <c r="W131" s="6">
        <f>IF(COUNTIF($A$2:A131,A131)=1,1,0)</f>
        <v/>
      </c>
    </row>
    <row r="132">
      <c r="A132" s="6" t="inlineStr">
        <is>
          <t>PO-1144</t>
        </is>
      </c>
      <c r="B132" s="6" t="inlineStr">
        <is>
          <t>SUP-002</t>
        </is>
      </c>
      <c r="C132" s="6" t="inlineStr">
        <is>
          <t>GPU Servers</t>
        </is>
      </c>
      <c r="D132" s="6" t="n">
        <v>8471.5</v>
      </c>
      <c r="E132" s="26" t="n">
        <v>45861</v>
      </c>
      <c r="F132" s="6" t="n">
        <v>20</v>
      </c>
      <c r="G132" s="27" t="n">
        <v>16341.96</v>
      </c>
      <c r="H132" s="6" t="inlineStr">
        <is>
          <t>CIF</t>
        </is>
      </c>
      <c r="I132" s="6" t="inlineStr">
        <is>
          <t>Ocean</t>
        </is>
      </c>
      <c r="J132" s="26" t="n">
        <v>45875</v>
      </c>
      <c r="K132" s="26" t="n">
        <v>45875</v>
      </c>
      <c r="L132" s="6" t="n">
        <v>4</v>
      </c>
      <c r="M132" s="6" t="inlineStr">
        <is>
          <t>N</t>
        </is>
      </c>
      <c r="N132" s="6" t="inlineStr">
        <is>
          <t>Delivered</t>
        </is>
      </c>
      <c r="O132" s="6">
        <f>IF(K132="",0,K132-E132)</f>
        <v/>
      </c>
      <c r="P132" s="6">
        <f>IF(N132&lt;&gt;"Delivered","",IF(K132&lt;=J132,1,0))</f>
        <v/>
      </c>
      <c r="Q132" s="6">
        <f>IFERROR(INDEX(Raw_Suppliers!$C$2:$C$4,MATCH(B132,Raw_Suppliers!$A$2:$A$4,0)),"")</f>
        <v/>
      </c>
      <c r="R132" s="6">
        <f>Q132&amp;"|"&amp;D132</f>
        <v/>
      </c>
      <c r="S132" s="28">
        <f>IFERROR(INDEX(Raw_Tariff_Ref!$H$2:$H$10,MATCH(R132,Raw_Tariff_Ref!$I$2:$I$10,0)),0)</f>
        <v/>
      </c>
      <c r="T132" s="27">
        <f>IF(G132="","",G132*F132)</f>
        <v/>
      </c>
      <c r="U132" s="27">
        <f>IF(G132="","",G132*(1+S132))</f>
        <v/>
      </c>
      <c r="V132" s="27">
        <f>IF(U132="","",U132*F132)</f>
        <v/>
      </c>
      <c r="W132" s="6">
        <f>IF(COUNTIF($A$2:A132,A132)=1,1,0)</f>
        <v/>
      </c>
    </row>
    <row r="133">
      <c r="A133" s="6" t="inlineStr">
        <is>
          <t>PO-1299</t>
        </is>
      </c>
      <c r="B133" s="6" t="inlineStr">
        <is>
          <t>SUP-002</t>
        </is>
      </c>
      <c r="C133" s="6" t="inlineStr">
        <is>
          <t>GPU Servers</t>
        </is>
      </c>
      <c r="D133" s="6" t="n">
        <v>8471.5</v>
      </c>
      <c r="E133" s="26" t="n">
        <v>45863</v>
      </c>
      <c r="F133" s="6" t="n">
        <v>8</v>
      </c>
      <c r="G133" s="27" t="n">
        <v>17796.53</v>
      </c>
      <c r="H133" s="6" t="inlineStr">
        <is>
          <t>CIF</t>
        </is>
      </c>
      <c r="I133" s="6" t="inlineStr">
        <is>
          <t>Truck</t>
        </is>
      </c>
      <c r="J133" s="26" t="n">
        <v>45879</v>
      </c>
      <c r="K133" s="26" t="n">
        <v>45879</v>
      </c>
      <c r="L133" s="6" t="n">
        <v>2</v>
      </c>
      <c r="M133" s="6" t="inlineStr">
        <is>
          <t>N</t>
        </is>
      </c>
      <c r="N133" s="6" t="inlineStr">
        <is>
          <t>Delivered</t>
        </is>
      </c>
      <c r="O133" s="6">
        <f>IF(K133="",0,K133-E133)</f>
        <v/>
      </c>
      <c r="P133" s="6">
        <f>IF(N133&lt;&gt;"Delivered","",IF(K133&lt;=J133,1,0))</f>
        <v/>
      </c>
      <c r="Q133" s="6">
        <f>IFERROR(INDEX(Raw_Suppliers!$C$2:$C$4,MATCH(B133,Raw_Suppliers!$A$2:$A$4,0)),"")</f>
        <v/>
      </c>
      <c r="R133" s="6">
        <f>Q133&amp;"|"&amp;D133</f>
        <v/>
      </c>
      <c r="S133" s="28">
        <f>IFERROR(INDEX(Raw_Tariff_Ref!$H$2:$H$10,MATCH(R133,Raw_Tariff_Ref!$I$2:$I$10,0)),0)</f>
        <v/>
      </c>
      <c r="T133" s="27">
        <f>IF(G133="","",G133*F133)</f>
        <v/>
      </c>
      <c r="U133" s="27">
        <f>IF(G133="","",G133*(1+S133))</f>
        <v/>
      </c>
      <c r="V133" s="27">
        <f>IF(U133="","",U133*F133)</f>
        <v/>
      </c>
      <c r="W133" s="6">
        <f>IF(COUNTIF($A$2:A133,A133)=1,1,0)</f>
        <v/>
      </c>
    </row>
    <row r="134">
      <c r="A134" s="6" t="inlineStr">
        <is>
          <t>PO-1074</t>
        </is>
      </c>
      <c r="B134" s="6" t="inlineStr">
        <is>
          <t>SUP-003</t>
        </is>
      </c>
      <c r="C134" s="6" t="inlineStr">
        <is>
          <t>GPU Servers</t>
        </is>
      </c>
      <c r="D134" s="6" t="n">
        <v>8471.5</v>
      </c>
      <c r="E134" s="26" t="n">
        <v>45865</v>
      </c>
      <c r="F134" s="6" t="n">
        <v>8</v>
      </c>
      <c r="G134" s="27" t="n">
        <v>15840.94</v>
      </c>
      <c r="H134" s="6" t="inlineStr">
        <is>
          <t>FOB</t>
        </is>
      </c>
      <c r="I134" s="6" t="inlineStr">
        <is>
          <t>Ocean</t>
        </is>
      </c>
      <c r="J134" s="26" t="n">
        <v>45911</v>
      </c>
      <c r="K134" s="26" t="n">
        <v>45911</v>
      </c>
      <c r="L134" s="6" t="n">
        <v>4</v>
      </c>
      <c r="M134" s="6" t="inlineStr">
        <is>
          <t>N</t>
        </is>
      </c>
      <c r="N134" s="6" t="inlineStr">
        <is>
          <t>Delivered</t>
        </is>
      </c>
      <c r="O134" s="6">
        <f>IF(K134="",0,K134-E134)</f>
        <v/>
      </c>
      <c r="P134" s="6">
        <f>IF(N134&lt;&gt;"Delivered","",IF(K134&lt;=J134,1,0))</f>
        <v/>
      </c>
      <c r="Q134" s="6">
        <f>IFERROR(INDEX(Raw_Suppliers!$C$2:$C$4,MATCH(B134,Raw_Suppliers!$A$2:$A$4,0)),"")</f>
        <v/>
      </c>
      <c r="R134" s="6">
        <f>Q134&amp;"|"&amp;D134</f>
        <v/>
      </c>
      <c r="S134" s="28">
        <f>IFERROR(INDEX(Raw_Tariff_Ref!$H$2:$H$10,MATCH(R134,Raw_Tariff_Ref!$I$2:$I$10,0)),0)</f>
        <v/>
      </c>
      <c r="T134" s="27">
        <f>IF(G134="","",G134*F134)</f>
        <v/>
      </c>
      <c r="U134" s="27">
        <f>IF(G134="","",G134*(1+S134))</f>
        <v/>
      </c>
      <c r="V134" s="27">
        <f>IF(U134="","",U134*F134)</f>
        <v/>
      </c>
      <c r="W134" s="6">
        <f>IF(COUNTIF($A$2:A134,A134)=1,1,0)</f>
        <v/>
      </c>
    </row>
    <row r="135">
      <c r="A135" s="6" t="inlineStr">
        <is>
          <t>PO-1276</t>
        </is>
      </c>
      <c r="B135" s="6" t="inlineStr">
        <is>
          <t>SUP-001</t>
        </is>
      </c>
      <c r="C135" s="6" t="inlineStr">
        <is>
          <t>PDU / MEP Equipment</t>
        </is>
      </c>
      <c r="D135" s="6" t="n">
        <v>8537.1</v>
      </c>
      <c r="E135" s="26" t="n">
        <v>45870</v>
      </c>
      <c r="F135" s="6" t="n">
        <v>10</v>
      </c>
      <c r="G135" s="27" t="n">
        <v>2903.9</v>
      </c>
      <c r="H135" s="6" t="inlineStr">
        <is>
          <t>DDP</t>
        </is>
      </c>
      <c r="I135" s="6" t="inlineStr">
        <is>
          <t>Truck</t>
        </is>
      </c>
      <c r="J135" s="26" t="n">
        <v>45880</v>
      </c>
      <c r="K135" s="26" t="n">
        <v>45885</v>
      </c>
      <c r="L135" s="6" t="n">
        <v>1</v>
      </c>
      <c r="M135" s="6" t="inlineStr">
        <is>
          <t>N</t>
        </is>
      </c>
      <c r="N135" s="6" t="inlineStr">
        <is>
          <t>Delivered</t>
        </is>
      </c>
      <c r="O135" s="6">
        <f>IF(K135="",0,K135-E135)</f>
        <v/>
      </c>
      <c r="P135" s="6">
        <f>IF(N135&lt;&gt;"Delivered","",IF(K135&lt;=J135,1,0))</f>
        <v/>
      </c>
      <c r="Q135" s="6">
        <f>IFERROR(INDEX(Raw_Suppliers!$C$2:$C$4,MATCH(B135,Raw_Suppliers!$A$2:$A$4,0)),"")</f>
        <v/>
      </c>
      <c r="R135" s="6">
        <f>Q135&amp;"|"&amp;D135</f>
        <v/>
      </c>
      <c r="S135" s="28">
        <f>IFERROR(INDEX(Raw_Tariff_Ref!$H$2:$H$10,MATCH(R135,Raw_Tariff_Ref!$I$2:$I$10,0)),0)</f>
        <v/>
      </c>
      <c r="T135" s="27">
        <f>IF(G135="","",G135*F135)</f>
        <v/>
      </c>
      <c r="U135" s="27">
        <f>IF(G135="","",G135*(1+S135))</f>
        <v/>
      </c>
      <c r="V135" s="27">
        <f>IF(U135="","",U135*F135)</f>
        <v/>
      </c>
      <c r="W135" s="6">
        <f>IF(COUNTIF($A$2:A135,A135)=1,1,0)</f>
        <v/>
      </c>
    </row>
    <row r="136">
      <c r="A136" s="6" t="inlineStr">
        <is>
          <t>PO-1108</t>
        </is>
      </c>
      <c r="B136" s="6" t="inlineStr">
        <is>
          <t>SUP-003</t>
        </is>
      </c>
      <c r="C136" s="6" t="inlineStr">
        <is>
          <t>GPU Servers</t>
        </is>
      </c>
      <c r="D136" s="6" t="n">
        <v>8471.5</v>
      </c>
      <c r="E136" s="26" t="n">
        <v>45875</v>
      </c>
      <c r="F136" s="6" t="n">
        <v>12</v>
      </c>
      <c r="G136" s="27" t="n">
        <v>14147.71</v>
      </c>
      <c r="H136" s="6" t="inlineStr">
        <is>
          <t>CIF</t>
        </is>
      </c>
      <c r="I136" s="6" t="inlineStr">
        <is>
          <t>Ocean</t>
        </is>
      </c>
      <c r="J136" s="26" t="n">
        <v>45914</v>
      </c>
      <c r="K136" s="26" t="n">
        <v>45912</v>
      </c>
      <c r="L136" s="6" t="n">
        <v>7</v>
      </c>
      <c r="M136" s="6" t="inlineStr">
        <is>
          <t>N</t>
        </is>
      </c>
      <c r="N136" s="6" t="inlineStr">
        <is>
          <t>Delivered</t>
        </is>
      </c>
      <c r="O136" s="6">
        <f>IF(K136="",0,K136-E136)</f>
        <v/>
      </c>
      <c r="P136" s="6">
        <f>IF(N136&lt;&gt;"Delivered","",IF(K136&lt;=J136,1,0))</f>
        <v/>
      </c>
      <c r="Q136" s="6">
        <f>IFERROR(INDEX(Raw_Suppliers!$C$2:$C$4,MATCH(B136,Raw_Suppliers!$A$2:$A$4,0)),"")</f>
        <v/>
      </c>
      <c r="R136" s="6">
        <f>Q136&amp;"|"&amp;D136</f>
        <v/>
      </c>
      <c r="S136" s="28">
        <f>IFERROR(INDEX(Raw_Tariff_Ref!$H$2:$H$10,MATCH(R136,Raw_Tariff_Ref!$I$2:$I$10,0)),0)</f>
        <v/>
      </c>
      <c r="T136" s="27">
        <f>IF(G136="","",G136*F136)</f>
        <v/>
      </c>
      <c r="U136" s="27">
        <f>IF(G136="","",G136*(1+S136))</f>
        <v/>
      </c>
      <c r="V136" s="27">
        <f>IF(U136="","",U136*F136)</f>
        <v/>
      </c>
      <c r="W136" s="6">
        <f>IF(COUNTIF($A$2:A136,A136)=1,1,0)</f>
        <v/>
      </c>
    </row>
    <row r="137">
      <c r="A137" s="6" t="inlineStr">
        <is>
          <t>PO-1072</t>
        </is>
      </c>
      <c r="B137" s="6" t="inlineStr">
        <is>
          <t>SUP-002</t>
        </is>
      </c>
      <c r="C137" s="6" t="inlineStr">
        <is>
          <t>Network Switches</t>
        </is>
      </c>
      <c r="D137" s="6" t="n">
        <v>8517.620000000001</v>
      </c>
      <c r="E137" s="26" t="n">
        <v>45875</v>
      </c>
      <c r="F137" s="6" t="n">
        <v>4</v>
      </c>
      <c r="G137" s="27" t="n">
        <v>3599.04</v>
      </c>
      <c r="H137" s="6" t="inlineStr">
        <is>
          <t>FOB</t>
        </is>
      </c>
      <c r="I137" s="6" t="inlineStr">
        <is>
          <t>Truck</t>
        </is>
      </c>
      <c r="J137" s="26" t="n">
        <v>45897</v>
      </c>
      <c r="K137" s="26" t="n">
        <v>45896</v>
      </c>
      <c r="L137" s="6" t="n">
        <v>2</v>
      </c>
      <c r="M137" s="6" t="inlineStr">
        <is>
          <t>N</t>
        </is>
      </c>
      <c r="N137" s="6" t="inlineStr">
        <is>
          <t>Delivered</t>
        </is>
      </c>
      <c r="O137" s="6">
        <f>IF(K137="",0,K137-E137)</f>
        <v/>
      </c>
      <c r="P137" s="6">
        <f>IF(N137&lt;&gt;"Delivered","",IF(K137&lt;=J137,1,0))</f>
        <v/>
      </c>
      <c r="Q137" s="6">
        <f>IFERROR(INDEX(Raw_Suppliers!$C$2:$C$4,MATCH(B137,Raw_Suppliers!$A$2:$A$4,0)),"")</f>
        <v/>
      </c>
      <c r="R137" s="6">
        <f>Q137&amp;"|"&amp;D137</f>
        <v/>
      </c>
      <c r="S137" s="28">
        <f>IFERROR(INDEX(Raw_Tariff_Ref!$H$2:$H$10,MATCH(R137,Raw_Tariff_Ref!$I$2:$I$10,0)),0)</f>
        <v/>
      </c>
      <c r="T137" s="27">
        <f>IF(G137="","",G137*F137)</f>
        <v/>
      </c>
      <c r="U137" s="27">
        <f>IF(G137="","",G137*(1+S137))</f>
        <v/>
      </c>
      <c r="V137" s="27">
        <f>IF(U137="","",U137*F137)</f>
        <v/>
      </c>
      <c r="W137" s="6">
        <f>IF(COUNTIF($A$2:A137,A137)=1,1,0)</f>
        <v/>
      </c>
    </row>
    <row r="138">
      <c r="A138" s="6" t="inlineStr">
        <is>
          <t>PO-1175</t>
        </is>
      </c>
      <c r="B138" s="6" t="inlineStr">
        <is>
          <t>SUP-001</t>
        </is>
      </c>
      <c r="C138" s="6" t="inlineStr">
        <is>
          <t>PDU / MEP Equipment</t>
        </is>
      </c>
      <c r="D138" s="6" t="n">
        <v>8537.1</v>
      </c>
      <c r="E138" s="26" t="n">
        <v>45878</v>
      </c>
      <c r="F138" s="6" t="n">
        <v>40</v>
      </c>
      <c r="G138" s="27" t="n">
        <v>3523.8</v>
      </c>
      <c r="H138" s="6" t="inlineStr">
        <is>
          <t>DDP</t>
        </is>
      </c>
      <c r="I138" s="6" t="inlineStr">
        <is>
          <t>Air</t>
        </is>
      </c>
      <c r="J138" s="26" t="n">
        <v>45892</v>
      </c>
      <c r="K138" s="26" t="n">
        <v>45891</v>
      </c>
      <c r="L138" s="6" t="n">
        <v>1</v>
      </c>
      <c r="M138" s="6" t="inlineStr">
        <is>
          <t>N</t>
        </is>
      </c>
      <c r="N138" s="6" t="inlineStr">
        <is>
          <t>Delivered</t>
        </is>
      </c>
      <c r="O138" s="6">
        <f>IF(K138="",0,K138-E138)</f>
        <v/>
      </c>
      <c r="P138" s="6">
        <f>IF(N138&lt;&gt;"Delivered","",IF(K138&lt;=J138,1,0))</f>
        <v/>
      </c>
      <c r="Q138" s="6">
        <f>IFERROR(INDEX(Raw_Suppliers!$C$2:$C$4,MATCH(B138,Raw_Suppliers!$A$2:$A$4,0)),"")</f>
        <v/>
      </c>
      <c r="R138" s="6">
        <f>Q138&amp;"|"&amp;D138</f>
        <v/>
      </c>
      <c r="S138" s="28">
        <f>IFERROR(INDEX(Raw_Tariff_Ref!$H$2:$H$10,MATCH(R138,Raw_Tariff_Ref!$I$2:$I$10,0)),0)</f>
        <v/>
      </c>
      <c r="T138" s="27">
        <f>IF(G138="","",G138*F138)</f>
        <v/>
      </c>
      <c r="U138" s="27">
        <f>IF(G138="","",G138*(1+S138))</f>
        <v/>
      </c>
      <c r="V138" s="27">
        <f>IF(U138="","",U138*F138)</f>
        <v/>
      </c>
      <c r="W138" s="6">
        <f>IF(COUNTIF($A$2:A138,A138)=1,1,0)</f>
        <v/>
      </c>
    </row>
    <row r="139">
      <c r="A139" s="6" t="inlineStr">
        <is>
          <t>PO-1337</t>
        </is>
      </c>
      <c r="B139" s="6" t="inlineStr">
        <is>
          <t>SUP-001</t>
        </is>
      </c>
      <c r="C139" s="6" t="inlineStr">
        <is>
          <t>gpu servers</t>
        </is>
      </c>
      <c r="D139" s="6" t="n">
        <v>8471.5</v>
      </c>
      <c r="E139" s="26" t="n">
        <v>45879</v>
      </c>
      <c r="F139" s="6" t="n">
        <v>2</v>
      </c>
      <c r="G139" s="27" t="n">
        <v>22245.43</v>
      </c>
      <c r="H139" s="6" t="inlineStr">
        <is>
          <t>DDP</t>
        </is>
      </c>
      <c r="I139" s="6" t="inlineStr">
        <is>
          <t>Truck</t>
        </is>
      </c>
      <c r="J139" s="26" t="n">
        <v>45884</v>
      </c>
      <c r="K139" s="26" t="n">
        <v>45882</v>
      </c>
      <c r="L139" s="6" t="n">
        <v>0</v>
      </c>
      <c r="M139" s="6" t="inlineStr">
        <is>
          <t>N</t>
        </is>
      </c>
      <c r="N139" s="6" t="inlineStr">
        <is>
          <t>Delivered</t>
        </is>
      </c>
      <c r="O139" s="6">
        <f>IF(K139="",0,K139-E139)</f>
        <v/>
      </c>
      <c r="P139" s="6">
        <f>IF(N139&lt;&gt;"Delivered","",IF(K139&lt;=J139,1,0))</f>
        <v/>
      </c>
      <c r="Q139" s="6">
        <f>IFERROR(INDEX(Raw_Suppliers!$C$2:$C$4,MATCH(B139,Raw_Suppliers!$A$2:$A$4,0)),"")</f>
        <v/>
      </c>
      <c r="R139" s="6">
        <f>Q139&amp;"|"&amp;D139</f>
        <v/>
      </c>
      <c r="S139" s="28">
        <f>IFERROR(INDEX(Raw_Tariff_Ref!$H$2:$H$10,MATCH(R139,Raw_Tariff_Ref!$I$2:$I$10,0)),0)</f>
        <v/>
      </c>
      <c r="T139" s="27">
        <f>IF(G139="","",G139*F139)</f>
        <v/>
      </c>
      <c r="U139" s="27">
        <f>IF(G139="","",G139*(1+S139))</f>
        <v/>
      </c>
      <c r="V139" s="27">
        <f>IF(U139="","",U139*F139)</f>
        <v/>
      </c>
      <c r="W139" s="6">
        <f>IF(COUNTIF($A$2:A139,A139)=1,1,0)</f>
        <v/>
      </c>
    </row>
    <row r="140">
      <c r="A140" s="6" t="inlineStr">
        <is>
          <t>PO-1015</t>
        </is>
      </c>
      <c r="B140" s="6" t="inlineStr">
        <is>
          <t>SUP-001</t>
        </is>
      </c>
      <c r="C140" s="6" t="inlineStr">
        <is>
          <t>PDU / MEP Equipment</t>
        </is>
      </c>
      <c r="D140" s="6" t="n">
        <v>8537.1</v>
      </c>
      <c r="E140" s="26" t="n">
        <v>45879</v>
      </c>
      <c r="F140" s="6" t="n">
        <v>10</v>
      </c>
      <c r="G140" s="27" t="n">
        <v>2524</v>
      </c>
      <c r="H140" s="6" t="inlineStr">
        <is>
          <t>DDP</t>
        </is>
      </c>
      <c r="I140" s="6" t="inlineStr">
        <is>
          <t>Air</t>
        </is>
      </c>
      <c r="J140" s="26" t="n">
        <v>45891</v>
      </c>
      <c r="K140" s="26" t="n">
        <v>45898</v>
      </c>
      <c r="L140" s="6" t="n">
        <v>1</v>
      </c>
      <c r="M140" s="6" t="inlineStr">
        <is>
          <t>N</t>
        </is>
      </c>
      <c r="N140" s="6" t="inlineStr">
        <is>
          <t>Delivered</t>
        </is>
      </c>
      <c r="O140" s="6">
        <f>IF(K140="",0,K140-E140)</f>
        <v/>
      </c>
      <c r="P140" s="6">
        <f>IF(N140&lt;&gt;"Delivered","",IF(K140&lt;=J140,1,0))</f>
        <v/>
      </c>
      <c r="Q140" s="6">
        <f>IFERROR(INDEX(Raw_Suppliers!$C$2:$C$4,MATCH(B140,Raw_Suppliers!$A$2:$A$4,0)),"")</f>
        <v/>
      </c>
      <c r="R140" s="6">
        <f>Q140&amp;"|"&amp;D140</f>
        <v/>
      </c>
      <c r="S140" s="28">
        <f>IFERROR(INDEX(Raw_Tariff_Ref!$H$2:$H$10,MATCH(R140,Raw_Tariff_Ref!$I$2:$I$10,0)),0)</f>
        <v/>
      </c>
      <c r="T140" s="27">
        <f>IF(G140="","",G140*F140)</f>
        <v/>
      </c>
      <c r="U140" s="27">
        <f>IF(G140="","",G140*(1+S140))</f>
        <v/>
      </c>
      <c r="V140" s="27">
        <f>IF(U140="","",U140*F140)</f>
        <v/>
      </c>
      <c r="W140" s="6">
        <f>IF(COUNTIF($A$2:A140,A140)=1,1,0)</f>
        <v/>
      </c>
    </row>
    <row r="141">
      <c r="A141" s="6" t="inlineStr">
        <is>
          <t>PO-1222</t>
        </is>
      </c>
      <c r="B141" s="6" t="inlineStr">
        <is>
          <t>SUP-003</t>
        </is>
      </c>
      <c r="C141" s="6" t="inlineStr">
        <is>
          <t>PDU / MEP Equipment</t>
        </is>
      </c>
      <c r="D141" s="6" t="n">
        <v>8537.1</v>
      </c>
      <c r="E141" s="26" t="n">
        <v>45879</v>
      </c>
      <c r="F141" s="6" t="n">
        <v>20</v>
      </c>
      <c r="G141" s="27" t="n">
        <v>1732.86</v>
      </c>
      <c r="H141" s="6" t="inlineStr">
        <is>
          <t>CIF</t>
        </is>
      </c>
      <c r="I141" s="6" t="inlineStr">
        <is>
          <t>Ocean</t>
        </is>
      </c>
      <c r="J141" s="26" t="n">
        <v>45932</v>
      </c>
      <c r="K141" s="26" t="n">
        <v>45941</v>
      </c>
      <c r="L141" s="6" t="n">
        <v>9</v>
      </c>
      <c r="M141" s="6" t="inlineStr">
        <is>
          <t>N</t>
        </is>
      </c>
      <c r="N141" s="6" t="inlineStr">
        <is>
          <t>Delivered</t>
        </is>
      </c>
      <c r="O141" s="6">
        <f>IF(K141="",0,K141-E141)</f>
        <v/>
      </c>
      <c r="P141" s="6">
        <f>IF(N141&lt;&gt;"Delivered","",IF(K141&lt;=J141,1,0))</f>
        <v/>
      </c>
      <c r="Q141" s="6">
        <f>IFERROR(INDEX(Raw_Suppliers!$C$2:$C$4,MATCH(B141,Raw_Suppliers!$A$2:$A$4,0)),"")</f>
        <v/>
      </c>
      <c r="R141" s="6">
        <f>Q141&amp;"|"&amp;D141</f>
        <v/>
      </c>
      <c r="S141" s="28">
        <f>IFERROR(INDEX(Raw_Tariff_Ref!$H$2:$H$10,MATCH(R141,Raw_Tariff_Ref!$I$2:$I$10,0)),0)</f>
        <v/>
      </c>
      <c r="T141" s="27">
        <f>IF(G141="","",G141*F141)</f>
        <v/>
      </c>
      <c r="U141" s="27">
        <f>IF(G141="","",G141*(1+S141))</f>
        <v/>
      </c>
      <c r="V141" s="27">
        <f>IF(U141="","",U141*F141)</f>
        <v/>
      </c>
      <c r="W141" s="6">
        <f>IF(COUNTIF($A$2:A141,A141)=1,1,0)</f>
        <v/>
      </c>
    </row>
    <row r="142">
      <c r="A142" s="6" t="inlineStr">
        <is>
          <t>PO-1008</t>
        </is>
      </c>
      <c r="B142" s="6" t="inlineStr">
        <is>
          <t>SUP-001</t>
        </is>
      </c>
      <c r="C142" s="6" t="inlineStr">
        <is>
          <t>PDU / MEP Equipment</t>
        </is>
      </c>
      <c r="D142" s="6" t="n">
        <v>8537.1</v>
      </c>
      <c r="E142" s="26" t="n">
        <v>45880</v>
      </c>
      <c r="F142" s="6" t="n">
        <v>20</v>
      </c>
      <c r="G142" s="27" t="n">
        <v>3020.7</v>
      </c>
      <c r="H142" s="6" t="inlineStr">
        <is>
          <t>FOB</t>
        </is>
      </c>
      <c r="I142" s="6" t="inlineStr">
        <is>
          <t>Truck</t>
        </is>
      </c>
      <c r="J142" s="26" t="n">
        <v>45892</v>
      </c>
      <c r="K142" s="26" t="n">
        <v>45891</v>
      </c>
      <c r="L142" s="6" t="n">
        <v>1</v>
      </c>
      <c r="M142" s="6" t="inlineStr">
        <is>
          <t>N</t>
        </is>
      </c>
      <c r="N142" s="6" t="inlineStr">
        <is>
          <t>Delivered</t>
        </is>
      </c>
      <c r="O142" s="6">
        <f>IF(K142="",0,K142-E142)</f>
        <v/>
      </c>
      <c r="P142" s="6">
        <f>IF(N142&lt;&gt;"Delivered","",IF(K142&lt;=J142,1,0))</f>
        <v/>
      </c>
      <c r="Q142" s="6">
        <f>IFERROR(INDEX(Raw_Suppliers!$C$2:$C$4,MATCH(B142,Raw_Suppliers!$A$2:$A$4,0)),"")</f>
        <v/>
      </c>
      <c r="R142" s="6">
        <f>Q142&amp;"|"&amp;D142</f>
        <v/>
      </c>
      <c r="S142" s="28">
        <f>IFERROR(INDEX(Raw_Tariff_Ref!$H$2:$H$10,MATCH(R142,Raw_Tariff_Ref!$I$2:$I$10,0)),0)</f>
        <v/>
      </c>
      <c r="T142" s="27">
        <f>IF(G142="","",G142*F142)</f>
        <v/>
      </c>
      <c r="U142" s="27">
        <f>IF(G142="","",G142*(1+S142))</f>
        <v/>
      </c>
      <c r="V142" s="27">
        <f>IF(U142="","",U142*F142)</f>
        <v/>
      </c>
      <c r="W142" s="6">
        <f>IF(COUNTIF($A$2:A142,A142)=1,1,0)</f>
        <v/>
      </c>
    </row>
    <row r="143">
      <c r="A143" s="6" t="inlineStr">
        <is>
          <t>PO-1278</t>
        </is>
      </c>
      <c r="B143" s="6" t="inlineStr">
        <is>
          <t>SUP-003</t>
        </is>
      </c>
      <c r="C143" s="6" t="inlineStr">
        <is>
          <t>PDU / MEP Equipment</t>
        </is>
      </c>
      <c r="D143" s="6" t="n">
        <v>8537.1</v>
      </c>
      <c r="E143" s="26" t="n">
        <v>45881</v>
      </c>
      <c r="F143" s="6" t="n">
        <v>40</v>
      </c>
      <c r="G143" s="27" t="n">
        <v>1955.04</v>
      </c>
      <c r="H143" s="6" t="inlineStr">
        <is>
          <t>CIF</t>
        </is>
      </c>
      <c r="I143" s="6" t="inlineStr">
        <is>
          <t>Air</t>
        </is>
      </c>
      <c r="J143" s="26" t="n">
        <v>45901</v>
      </c>
      <c r="K143" s="26" t="n">
        <v>45899</v>
      </c>
      <c r="L143" s="6" t="n">
        <v>3</v>
      </c>
      <c r="M143" s="6" t="inlineStr">
        <is>
          <t>N</t>
        </is>
      </c>
      <c r="N143" s="6" t="inlineStr">
        <is>
          <t>Delivered</t>
        </is>
      </c>
      <c r="O143" s="6">
        <f>IF(K143="",0,K143-E143)</f>
        <v/>
      </c>
      <c r="P143" s="6">
        <f>IF(N143&lt;&gt;"Delivered","",IF(K143&lt;=J143,1,0))</f>
        <v/>
      </c>
      <c r="Q143" s="6">
        <f>IFERROR(INDEX(Raw_Suppliers!$C$2:$C$4,MATCH(B143,Raw_Suppliers!$A$2:$A$4,0)),"")</f>
        <v/>
      </c>
      <c r="R143" s="6">
        <f>Q143&amp;"|"&amp;D143</f>
        <v/>
      </c>
      <c r="S143" s="28">
        <f>IFERROR(INDEX(Raw_Tariff_Ref!$H$2:$H$10,MATCH(R143,Raw_Tariff_Ref!$I$2:$I$10,0)),0)</f>
        <v/>
      </c>
      <c r="T143" s="27">
        <f>IF(G143="","",G143*F143)</f>
        <v/>
      </c>
      <c r="U143" s="27">
        <f>IF(G143="","",G143*(1+S143))</f>
        <v/>
      </c>
      <c r="V143" s="27">
        <f>IF(U143="","",U143*F143)</f>
        <v/>
      </c>
      <c r="W143" s="6">
        <f>IF(COUNTIF($A$2:A143,A143)=1,1,0)</f>
        <v/>
      </c>
    </row>
    <row r="144">
      <c r="A144" s="6" t="inlineStr">
        <is>
          <t>PO-1215</t>
        </is>
      </c>
      <c r="B144" s="6" t="inlineStr">
        <is>
          <t>SUP-002</t>
        </is>
      </c>
      <c r="C144" s="6" t="inlineStr">
        <is>
          <t>Network Switches</t>
        </is>
      </c>
      <c r="D144" s="6" t="n">
        <v>8517.620000000001</v>
      </c>
      <c r="E144" s="26" t="n">
        <v>45885</v>
      </c>
      <c r="F144" s="6" t="n">
        <v>5</v>
      </c>
      <c r="G144" s="27" t="n">
        <v>4924.06</v>
      </c>
      <c r="H144" s="6" t="inlineStr">
        <is>
          <t>CIF</t>
        </is>
      </c>
      <c r="I144" s="6" t="inlineStr">
        <is>
          <t>Truck</t>
        </is>
      </c>
      <c r="J144" s="26" t="n">
        <v>45904</v>
      </c>
      <c r="K144" s="26" t="n">
        <v>45902</v>
      </c>
      <c r="L144" s="6" t="n">
        <v>3</v>
      </c>
      <c r="M144" s="6" t="inlineStr">
        <is>
          <t>N</t>
        </is>
      </c>
      <c r="N144" s="6" t="inlineStr">
        <is>
          <t>Delivered</t>
        </is>
      </c>
      <c r="O144" s="6">
        <f>IF(K144="",0,K144-E144)</f>
        <v/>
      </c>
      <c r="P144" s="6">
        <f>IF(N144&lt;&gt;"Delivered","",IF(K144&lt;=J144,1,0))</f>
        <v/>
      </c>
      <c r="Q144" s="6">
        <f>IFERROR(INDEX(Raw_Suppliers!$C$2:$C$4,MATCH(B144,Raw_Suppliers!$A$2:$A$4,0)),"")</f>
        <v/>
      </c>
      <c r="R144" s="6">
        <f>Q144&amp;"|"&amp;D144</f>
        <v/>
      </c>
      <c r="S144" s="28">
        <f>IFERROR(INDEX(Raw_Tariff_Ref!$H$2:$H$10,MATCH(R144,Raw_Tariff_Ref!$I$2:$I$10,0)),0)</f>
        <v/>
      </c>
      <c r="T144" s="27">
        <f>IF(G144="","",G144*F144)</f>
        <v/>
      </c>
      <c r="U144" s="27">
        <f>IF(G144="","",G144*(1+S144))</f>
        <v/>
      </c>
      <c r="V144" s="27">
        <f>IF(U144="","",U144*F144)</f>
        <v/>
      </c>
      <c r="W144" s="6">
        <f>IF(COUNTIF($A$2:A144,A144)=1,1,0)</f>
        <v/>
      </c>
    </row>
    <row r="145">
      <c r="A145" s="6" t="inlineStr">
        <is>
          <t>PO-1205</t>
        </is>
      </c>
      <c r="B145" s="6" t="inlineStr">
        <is>
          <t>SUP-003</t>
        </is>
      </c>
      <c r="C145" s="6" t="inlineStr">
        <is>
          <t>Network Switches</t>
        </is>
      </c>
      <c r="D145" s="6" t="n">
        <v>8517.620000000001</v>
      </c>
      <c r="E145" s="26" t="n">
        <v>45886</v>
      </c>
      <c r="F145" s="6" t="n">
        <v>25</v>
      </c>
      <c r="G145" s="27" t="n">
        <v>3320.87</v>
      </c>
      <c r="H145" s="6" t="inlineStr">
        <is>
          <t>CIF</t>
        </is>
      </c>
      <c r="I145" s="6" t="inlineStr">
        <is>
          <t>Air</t>
        </is>
      </c>
      <c r="J145" s="26" t="n">
        <v>45907</v>
      </c>
      <c r="K145" s="26" t="n">
        <v>45914</v>
      </c>
      <c r="L145" s="6" t="n">
        <v>4</v>
      </c>
      <c r="M145" s="6" t="inlineStr">
        <is>
          <t>N</t>
        </is>
      </c>
      <c r="N145" s="6" t="inlineStr">
        <is>
          <t>Delivered</t>
        </is>
      </c>
      <c r="O145" s="6">
        <f>IF(K145="",0,K145-E145)</f>
        <v/>
      </c>
      <c r="P145" s="6">
        <f>IF(N145&lt;&gt;"Delivered","",IF(K145&lt;=J145,1,0))</f>
        <v/>
      </c>
      <c r="Q145" s="6">
        <f>IFERROR(INDEX(Raw_Suppliers!$C$2:$C$4,MATCH(B145,Raw_Suppliers!$A$2:$A$4,0)),"")</f>
        <v/>
      </c>
      <c r="R145" s="6">
        <f>Q145&amp;"|"&amp;D145</f>
        <v/>
      </c>
      <c r="S145" s="28">
        <f>IFERROR(INDEX(Raw_Tariff_Ref!$H$2:$H$10,MATCH(R145,Raw_Tariff_Ref!$I$2:$I$10,0)),0)</f>
        <v/>
      </c>
      <c r="T145" s="27">
        <f>IF(G145="","",G145*F145)</f>
        <v/>
      </c>
      <c r="U145" s="27">
        <f>IF(G145="","",G145*(1+S145))</f>
        <v/>
      </c>
      <c r="V145" s="27">
        <f>IF(U145="","",U145*F145)</f>
        <v/>
      </c>
      <c r="W145" s="6">
        <f>IF(COUNTIF($A$2:A145,A145)=1,1,0)</f>
        <v/>
      </c>
    </row>
    <row r="146">
      <c r="A146" s="6" t="inlineStr">
        <is>
          <t>PO-1209</t>
        </is>
      </c>
      <c r="B146" s="6" t="inlineStr">
        <is>
          <t>SUP-001</t>
        </is>
      </c>
      <c r="C146" s="6" t="inlineStr">
        <is>
          <t>GPU Servers</t>
        </is>
      </c>
      <c r="D146" s="6" t="n">
        <v>8471.5</v>
      </c>
      <c r="E146" s="26" t="n">
        <v>45886</v>
      </c>
      <c r="F146" s="6" t="n">
        <v>16</v>
      </c>
      <c r="G146" s="27" t="n">
        <v>21455.75</v>
      </c>
      <c r="H146" s="6" t="inlineStr">
        <is>
          <t>FOB</t>
        </is>
      </c>
      <c r="I146" s="6" t="inlineStr">
        <is>
          <t>Truck</t>
        </is>
      </c>
      <c r="J146" s="26" t="n">
        <v>45897</v>
      </c>
      <c r="K146" s="26" t="n">
        <v>45895</v>
      </c>
      <c r="L146" s="6" t="n">
        <v>0</v>
      </c>
      <c r="M146" s="6" t="inlineStr">
        <is>
          <t>N</t>
        </is>
      </c>
      <c r="N146" s="6" t="inlineStr">
        <is>
          <t>Delivered</t>
        </is>
      </c>
      <c r="O146" s="6">
        <f>IF(K146="",0,K146-E146)</f>
        <v/>
      </c>
      <c r="P146" s="6">
        <f>IF(N146&lt;&gt;"Delivered","",IF(K146&lt;=J146,1,0))</f>
        <v/>
      </c>
      <c r="Q146" s="6">
        <f>IFERROR(INDEX(Raw_Suppliers!$C$2:$C$4,MATCH(B146,Raw_Suppliers!$A$2:$A$4,0)),"")</f>
        <v/>
      </c>
      <c r="R146" s="6">
        <f>Q146&amp;"|"&amp;D146</f>
        <v/>
      </c>
      <c r="S146" s="28">
        <f>IFERROR(INDEX(Raw_Tariff_Ref!$H$2:$H$10,MATCH(R146,Raw_Tariff_Ref!$I$2:$I$10,0)),0)</f>
        <v/>
      </c>
      <c r="T146" s="27">
        <f>IF(G146="","",G146*F146)</f>
        <v/>
      </c>
      <c r="U146" s="27">
        <f>IF(G146="","",G146*(1+S146))</f>
        <v/>
      </c>
      <c r="V146" s="27">
        <f>IF(U146="","",U146*F146)</f>
        <v/>
      </c>
      <c r="W146" s="6">
        <f>IF(COUNTIF($A$2:A146,A146)=1,1,0)</f>
        <v/>
      </c>
    </row>
    <row r="147">
      <c r="A147" s="6" t="inlineStr">
        <is>
          <t>PO-1007</t>
        </is>
      </c>
      <c r="B147" s="6" t="inlineStr">
        <is>
          <t>SUP-002</t>
        </is>
      </c>
      <c r="C147" s="6" t="inlineStr">
        <is>
          <t>GPU Servers</t>
        </is>
      </c>
      <c r="D147" s="6" t="n">
        <v>8471.5</v>
      </c>
      <c r="E147" s="26" t="n">
        <v>45887</v>
      </c>
      <c r="F147" s="6" t="n">
        <v>8</v>
      </c>
      <c r="G147" s="27" t="n">
        <v>17227.07</v>
      </c>
      <c r="H147" s="6" t="inlineStr">
        <is>
          <t>CIF</t>
        </is>
      </c>
      <c r="I147" s="6" t="inlineStr">
        <is>
          <t>Ocean</t>
        </is>
      </c>
      <c r="J147" s="26" t="n">
        <v>45907</v>
      </c>
      <c r="K147" s="26" t="n">
        <v>45905</v>
      </c>
      <c r="L147" s="6" t="n">
        <v>3</v>
      </c>
      <c r="M147" s="6" t="inlineStr">
        <is>
          <t>N</t>
        </is>
      </c>
      <c r="N147" s="6" t="inlineStr">
        <is>
          <t>Delivered</t>
        </is>
      </c>
      <c r="O147" s="6">
        <f>IF(K147="",0,K147-E147)</f>
        <v/>
      </c>
      <c r="P147" s="6">
        <f>IF(N147&lt;&gt;"Delivered","",IF(K147&lt;=J147,1,0))</f>
        <v/>
      </c>
      <c r="Q147" s="6">
        <f>IFERROR(INDEX(Raw_Suppliers!$C$2:$C$4,MATCH(B147,Raw_Suppliers!$A$2:$A$4,0)),"")</f>
        <v/>
      </c>
      <c r="R147" s="6">
        <f>Q147&amp;"|"&amp;D147</f>
        <v/>
      </c>
      <c r="S147" s="28">
        <f>IFERROR(INDEX(Raw_Tariff_Ref!$H$2:$H$10,MATCH(R147,Raw_Tariff_Ref!$I$2:$I$10,0)),0)</f>
        <v/>
      </c>
      <c r="T147" s="27">
        <f>IF(G147="","",G147*F147)</f>
        <v/>
      </c>
      <c r="U147" s="27">
        <f>IF(G147="","",G147*(1+S147))</f>
        <v/>
      </c>
      <c r="V147" s="27">
        <f>IF(U147="","",U147*F147)</f>
        <v/>
      </c>
      <c r="W147" s="6">
        <f>IF(COUNTIF($A$2:A147,A147)=1,1,0)</f>
        <v/>
      </c>
    </row>
    <row r="148">
      <c r="A148" s="6" t="inlineStr">
        <is>
          <t>PO-1225</t>
        </is>
      </c>
      <c r="B148" s="6" t="inlineStr">
        <is>
          <t>SUP-002</t>
        </is>
      </c>
      <c r="C148" s="6" t="inlineStr">
        <is>
          <t>Network Switches</t>
        </is>
      </c>
      <c r="D148" s="6" t="n">
        <v>8517.620000000001</v>
      </c>
      <c r="E148" s="26" t="n">
        <v>45889</v>
      </c>
      <c r="F148" s="6" t="n">
        <v>10</v>
      </c>
      <c r="G148" s="27" t="n">
        <v>3263.24</v>
      </c>
      <c r="H148" s="6" t="inlineStr">
        <is>
          <t>CIF</t>
        </is>
      </c>
      <c r="I148" s="6" t="inlineStr">
        <is>
          <t>Ocean</t>
        </is>
      </c>
      <c r="J148" s="26" t="n">
        <v>45904</v>
      </c>
      <c r="K148" s="26" t="n">
        <v>45902</v>
      </c>
      <c r="L148" s="6" t="n">
        <v>2</v>
      </c>
      <c r="M148" s="6" t="inlineStr">
        <is>
          <t>N</t>
        </is>
      </c>
      <c r="N148" s="6" t="inlineStr">
        <is>
          <t>Delivered</t>
        </is>
      </c>
      <c r="O148" s="6">
        <f>IF(K148="",0,K148-E148)</f>
        <v/>
      </c>
      <c r="P148" s="6">
        <f>IF(N148&lt;&gt;"Delivered","",IF(K148&lt;=J148,1,0))</f>
        <v/>
      </c>
      <c r="Q148" s="6">
        <f>IFERROR(INDEX(Raw_Suppliers!$C$2:$C$4,MATCH(B148,Raw_Suppliers!$A$2:$A$4,0)),"")</f>
        <v/>
      </c>
      <c r="R148" s="6">
        <f>Q148&amp;"|"&amp;D148</f>
        <v/>
      </c>
      <c r="S148" s="28">
        <f>IFERROR(INDEX(Raw_Tariff_Ref!$H$2:$H$10,MATCH(R148,Raw_Tariff_Ref!$I$2:$I$10,0)),0)</f>
        <v/>
      </c>
      <c r="T148" s="27">
        <f>IF(G148="","",G148*F148)</f>
        <v/>
      </c>
      <c r="U148" s="27">
        <f>IF(G148="","",G148*(1+S148))</f>
        <v/>
      </c>
      <c r="V148" s="27">
        <f>IF(U148="","",U148*F148)</f>
        <v/>
      </c>
      <c r="W148" s="6">
        <f>IF(COUNTIF($A$2:A148,A148)=1,1,0)</f>
        <v/>
      </c>
    </row>
    <row r="149">
      <c r="A149" s="6" t="inlineStr">
        <is>
          <t>PO-1102</t>
        </is>
      </c>
      <c r="B149" s="6" t="inlineStr">
        <is>
          <t>SUP-002</t>
        </is>
      </c>
      <c r="C149" s="6" t="inlineStr">
        <is>
          <t>GPU Servers</t>
        </is>
      </c>
      <c r="D149" s="6" t="n">
        <v>8471.5</v>
      </c>
      <c r="E149" s="26" t="n">
        <v>45889</v>
      </c>
      <c r="F149" s="6" t="n">
        <v>20</v>
      </c>
      <c r="G149" s="27" t="n">
        <v>17685.13</v>
      </c>
      <c r="H149" s="6" t="inlineStr">
        <is>
          <t>CIF</t>
        </is>
      </c>
      <c r="I149" s="6" t="inlineStr">
        <is>
          <t>Ocean</t>
        </is>
      </c>
      <c r="J149" s="26" t="n">
        <v>45906</v>
      </c>
      <c r="K149" s="26" t="n">
        <v>45906</v>
      </c>
      <c r="L149" s="6" t="n">
        <v>1</v>
      </c>
      <c r="M149" s="6" t="inlineStr">
        <is>
          <t>N</t>
        </is>
      </c>
      <c r="N149" s="6" t="inlineStr">
        <is>
          <t>Delivered</t>
        </is>
      </c>
      <c r="O149" s="6">
        <f>IF(K149="",0,K149-E149)</f>
        <v/>
      </c>
      <c r="P149" s="6">
        <f>IF(N149&lt;&gt;"Delivered","",IF(K149&lt;=J149,1,0))</f>
        <v/>
      </c>
      <c r="Q149" s="6">
        <f>IFERROR(INDEX(Raw_Suppliers!$C$2:$C$4,MATCH(B149,Raw_Suppliers!$A$2:$A$4,0)),"")</f>
        <v/>
      </c>
      <c r="R149" s="6">
        <f>Q149&amp;"|"&amp;D149</f>
        <v/>
      </c>
      <c r="S149" s="28">
        <f>IFERROR(INDEX(Raw_Tariff_Ref!$H$2:$H$10,MATCH(R149,Raw_Tariff_Ref!$I$2:$I$10,0)),0)</f>
        <v/>
      </c>
      <c r="T149" s="27">
        <f>IF(G149="","",G149*F149)</f>
        <v/>
      </c>
      <c r="U149" s="27">
        <f>IF(G149="","",G149*(1+S149))</f>
        <v/>
      </c>
      <c r="V149" s="27">
        <f>IF(U149="","",U149*F149)</f>
        <v/>
      </c>
      <c r="W149" s="6">
        <f>IF(COUNTIF($A$2:A149,A149)=1,1,0)</f>
        <v/>
      </c>
    </row>
    <row r="150">
      <c r="A150" s="6" t="inlineStr">
        <is>
          <t>PO-1036</t>
        </is>
      </c>
      <c r="B150" s="6" t="inlineStr">
        <is>
          <t>SUP-003</t>
        </is>
      </c>
      <c r="C150" s="6" t="inlineStr">
        <is>
          <t>PDU / MEP Equipment</t>
        </is>
      </c>
      <c r="D150" s="6" t="n">
        <v>8537.1</v>
      </c>
      <c r="E150" s="26" t="n">
        <v>45891</v>
      </c>
      <c r="F150" s="6" t="n">
        <v>16</v>
      </c>
      <c r="G150" s="27" t="n">
        <v>2435.72</v>
      </c>
      <c r="H150" s="6" t="inlineStr">
        <is>
          <t>EXW</t>
        </is>
      </c>
      <c r="I150" s="6" t="inlineStr">
        <is>
          <t>Air</t>
        </is>
      </c>
      <c r="J150" s="26" t="n">
        <v>45917</v>
      </c>
      <c r="K150" s="26" t="n">
        <v>45915</v>
      </c>
      <c r="L150" s="6" t="n">
        <v>8</v>
      </c>
      <c r="M150" s="6" t="inlineStr">
        <is>
          <t>N</t>
        </is>
      </c>
      <c r="N150" s="6" t="inlineStr">
        <is>
          <t>Delivered</t>
        </is>
      </c>
      <c r="O150" s="6">
        <f>IF(K150="",0,K150-E150)</f>
        <v/>
      </c>
      <c r="P150" s="6">
        <f>IF(N150&lt;&gt;"Delivered","",IF(K150&lt;=J150,1,0))</f>
        <v/>
      </c>
      <c r="Q150" s="6">
        <f>IFERROR(INDEX(Raw_Suppliers!$C$2:$C$4,MATCH(B150,Raw_Suppliers!$A$2:$A$4,0)),"")</f>
        <v/>
      </c>
      <c r="R150" s="6">
        <f>Q150&amp;"|"&amp;D150</f>
        <v/>
      </c>
      <c r="S150" s="28">
        <f>IFERROR(INDEX(Raw_Tariff_Ref!$H$2:$H$10,MATCH(R150,Raw_Tariff_Ref!$I$2:$I$10,0)),0)</f>
        <v/>
      </c>
      <c r="T150" s="27">
        <f>IF(G150="","",G150*F150)</f>
        <v/>
      </c>
      <c r="U150" s="27">
        <f>IF(G150="","",G150*(1+S150))</f>
        <v/>
      </c>
      <c r="V150" s="27">
        <f>IF(U150="","",U150*F150)</f>
        <v/>
      </c>
      <c r="W150" s="6">
        <f>IF(COUNTIF($A$2:A150,A150)=1,1,0)</f>
        <v/>
      </c>
    </row>
    <row r="151">
      <c r="A151" s="6" t="inlineStr">
        <is>
          <t>PO-1168</t>
        </is>
      </c>
      <c r="B151" s="6" t="inlineStr">
        <is>
          <t>SUP-003</t>
        </is>
      </c>
      <c r="C151" s="6" t="inlineStr">
        <is>
          <t>GPU Servers</t>
        </is>
      </c>
      <c r="D151" s="6" t="n">
        <v>8471.5</v>
      </c>
      <c r="E151" s="26" t="n">
        <v>45892</v>
      </c>
      <c r="F151" s="6" t="n">
        <v>5</v>
      </c>
      <c r="G151" s="27" t="n">
        <v>14999.61</v>
      </c>
      <c r="H151" s="6" t="inlineStr">
        <is>
          <t>FOB</t>
        </is>
      </c>
      <c r="I151" s="6" t="inlineStr">
        <is>
          <t>Ocean</t>
        </is>
      </c>
      <c r="J151" s="26" t="n">
        <v>45940</v>
      </c>
      <c r="K151" s="26" t="n">
        <v>45938</v>
      </c>
      <c r="L151" s="6" t="n">
        <v>8</v>
      </c>
      <c r="M151" s="6" t="inlineStr">
        <is>
          <t>N</t>
        </is>
      </c>
      <c r="N151" s="6" t="inlineStr">
        <is>
          <t>Delivered</t>
        </is>
      </c>
      <c r="O151" s="6">
        <f>IF(K151="",0,K151-E151)</f>
        <v/>
      </c>
      <c r="P151" s="6">
        <f>IF(N151&lt;&gt;"Delivered","",IF(K151&lt;=J151,1,0))</f>
        <v/>
      </c>
      <c r="Q151" s="6">
        <f>IFERROR(INDEX(Raw_Suppliers!$C$2:$C$4,MATCH(B151,Raw_Suppliers!$A$2:$A$4,0)),"")</f>
        <v/>
      </c>
      <c r="R151" s="6">
        <f>Q151&amp;"|"&amp;D151</f>
        <v/>
      </c>
      <c r="S151" s="28">
        <f>IFERROR(INDEX(Raw_Tariff_Ref!$H$2:$H$10,MATCH(R151,Raw_Tariff_Ref!$I$2:$I$10,0)),0)</f>
        <v/>
      </c>
      <c r="T151" s="27">
        <f>IF(G151="","",G151*F151)</f>
        <v/>
      </c>
      <c r="U151" s="27">
        <f>IF(G151="","",G151*(1+S151))</f>
        <v/>
      </c>
      <c r="V151" s="27">
        <f>IF(U151="","",U151*F151)</f>
        <v/>
      </c>
      <c r="W151" s="6">
        <f>IF(COUNTIF($A$2:A151,A151)=1,1,0)</f>
        <v/>
      </c>
    </row>
    <row r="152">
      <c r="A152" s="6" t="inlineStr">
        <is>
          <t>PO-1327</t>
        </is>
      </c>
      <c r="B152" s="6" t="inlineStr">
        <is>
          <t>SUP-003</t>
        </is>
      </c>
      <c r="C152" s="6" t="inlineStr">
        <is>
          <t>GPU Servers</t>
        </is>
      </c>
      <c r="D152" s="6" t="n">
        <v>8471.5</v>
      </c>
      <c r="E152" s="26" t="n">
        <v>45893</v>
      </c>
      <c r="F152" s="6" t="n">
        <v>2</v>
      </c>
      <c r="G152" s="27" t="n">
        <v>13585.55</v>
      </c>
      <c r="H152" s="6" t="inlineStr">
        <is>
          <t>FOB</t>
        </is>
      </c>
      <c r="I152" s="6" t="inlineStr">
        <is>
          <t>Air</t>
        </is>
      </c>
      <c r="J152" s="26" t="n">
        <v>45923</v>
      </c>
      <c r="K152" s="26" t="n">
        <v>45921</v>
      </c>
      <c r="L152" s="6" t="n">
        <v>4</v>
      </c>
      <c r="M152" s="6" t="inlineStr">
        <is>
          <t>N</t>
        </is>
      </c>
      <c r="N152" s="6" t="inlineStr">
        <is>
          <t>Delivered</t>
        </is>
      </c>
      <c r="O152" s="6">
        <f>IF(K152="",0,K152-E152)</f>
        <v/>
      </c>
      <c r="P152" s="6">
        <f>IF(N152&lt;&gt;"Delivered","",IF(K152&lt;=J152,1,0))</f>
        <v/>
      </c>
      <c r="Q152" s="6">
        <f>IFERROR(INDEX(Raw_Suppliers!$C$2:$C$4,MATCH(B152,Raw_Suppliers!$A$2:$A$4,0)),"")</f>
        <v/>
      </c>
      <c r="R152" s="6">
        <f>Q152&amp;"|"&amp;D152</f>
        <v/>
      </c>
      <c r="S152" s="28">
        <f>IFERROR(INDEX(Raw_Tariff_Ref!$H$2:$H$10,MATCH(R152,Raw_Tariff_Ref!$I$2:$I$10,0)),0)</f>
        <v/>
      </c>
      <c r="T152" s="27">
        <f>IF(G152="","",G152*F152)</f>
        <v/>
      </c>
      <c r="U152" s="27">
        <f>IF(G152="","",G152*(1+S152))</f>
        <v/>
      </c>
      <c r="V152" s="27">
        <f>IF(U152="","",U152*F152)</f>
        <v/>
      </c>
      <c r="W152" s="6">
        <f>IF(COUNTIF($A$2:A152,A152)=1,1,0)</f>
        <v/>
      </c>
    </row>
    <row r="153">
      <c r="A153" s="6" t="inlineStr">
        <is>
          <t>PO-1017</t>
        </is>
      </c>
      <c r="B153" s="6" t="inlineStr">
        <is>
          <t>SUP-003</t>
        </is>
      </c>
      <c r="C153" s="6" t="inlineStr">
        <is>
          <t>PDU / MEP Equipment</t>
        </is>
      </c>
      <c r="D153" s="6" t="n">
        <v>8537.1</v>
      </c>
      <c r="E153" s="26" t="n">
        <v>45897</v>
      </c>
      <c r="F153" s="6" t="n">
        <v>12</v>
      </c>
      <c r="G153" s="27" t="n">
        <v>1928.18</v>
      </c>
      <c r="H153" s="6" t="inlineStr">
        <is>
          <t>EXW</t>
        </is>
      </c>
      <c r="I153" s="6" t="inlineStr">
        <is>
          <t>Air</t>
        </is>
      </c>
      <c r="J153" s="26" t="n">
        <v>45928</v>
      </c>
      <c r="K153" s="26" t="n">
        <v>45926</v>
      </c>
      <c r="L153" s="6" t="n">
        <v>10</v>
      </c>
      <c r="M153" s="6" t="inlineStr">
        <is>
          <t>Y</t>
        </is>
      </c>
      <c r="N153" s="6" t="inlineStr">
        <is>
          <t>Delivered</t>
        </is>
      </c>
      <c r="O153" s="6">
        <f>IF(K153="",0,K153-E153)</f>
        <v/>
      </c>
      <c r="P153" s="6">
        <f>IF(N153&lt;&gt;"Delivered","",IF(K153&lt;=J153,1,0))</f>
        <v/>
      </c>
      <c r="Q153" s="6">
        <f>IFERROR(INDEX(Raw_Suppliers!$C$2:$C$4,MATCH(B153,Raw_Suppliers!$A$2:$A$4,0)),"")</f>
        <v/>
      </c>
      <c r="R153" s="6">
        <f>Q153&amp;"|"&amp;D153</f>
        <v/>
      </c>
      <c r="S153" s="28">
        <f>IFERROR(INDEX(Raw_Tariff_Ref!$H$2:$H$10,MATCH(R153,Raw_Tariff_Ref!$I$2:$I$10,0)),0)</f>
        <v/>
      </c>
      <c r="T153" s="27">
        <f>IF(G153="","",G153*F153)</f>
        <v/>
      </c>
      <c r="U153" s="27">
        <f>IF(G153="","",G153*(1+S153))</f>
        <v/>
      </c>
      <c r="V153" s="27">
        <f>IF(U153="","",U153*F153)</f>
        <v/>
      </c>
      <c r="W153" s="6">
        <f>IF(COUNTIF($A$2:A153,A153)=1,1,0)</f>
        <v/>
      </c>
    </row>
    <row r="154">
      <c r="A154" s="6" t="inlineStr">
        <is>
          <t>PO-1257</t>
        </is>
      </c>
      <c r="B154" s="6" t="inlineStr">
        <is>
          <t>SUP-002</t>
        </is>
      </c>
      <c r="C154" s="6" t="inlineStr">
        <is>
          <t>GPU Servers</t>
        </is>
      </c>
      <c r="D154" s="6" t="n">
        <v>8471.5</v>
      </c>
      <c r="E154" s="26" t="n">
        <v>45900</v>
      </c>
      <c r="F154" s="6" t="n">
        <v>5</v>
      </c>
      <c r="G154" s="27" t="n">
        <v>21517.32</v>
      </c>
      <c r="H154" s="6" t="inlineStr">
        <is>
          <t>CIF</t>
        </is>
      </c>
      <c r="I154" s="6" t="inlineStr">
        <is>
          <t>Ocean</t>
        </is>
      </c>
      <c r="J154" s="26" t="n">
        <v>45912</v>
      </c>
      <c r="K154" s="26" t="n">
        <v>45912</v>
      </c>
      <c r="L154" s="6" t="n">
        <v>1</v>
      </c>
      <c r="M154" s="6" t="inlineStr">
        <is>
          <t>N</t>
        </is>
      </c>
      <c r="N154" s="6" t="inlineStr">
        <is>
          <t>Delivered</t>
        </is>
      </c>
      <c r="O154" s="6">
        <f>IF(K154="",0,K154-E154)</f>
        <v/>
      </c>
      <c r="P154" s="6">
        <f>IF(N154&lt;&gt;"Delivered","",IF(K154&lt;=J154,1,0))</f>
        <v/>
      </c>
      <c r="Q154" s="6">
        <f>IFERROR(INDEX(Raw_Suppliers!$C$2:$C$4,MATCH(B154,Raw_Suppliers!$A$2:$A$4,0)),"")</f>
        <v/>
      </c>
      <c r="R154" s="6">
        <f>Q154&amp;"|"&amp;D154</f>
        <v/>
      </c>
      <c r="S154" s="28">
        <f>IFERROR(INDEX(Raw_Tariff_Ref!$H$2:$H$10,MATCH(R154,Raw_Tariff_Ref!$I$2:$I$10,0)),0)</f>
        <v/>
      </c>
      <c r="T154" s="27">
        <f>IF(G154="","",G154*F154)</f>
        <v/>
      </c>
      <c r="U154" s="27">
        <f>IF(G154="","",G154*(1+S154))</f>
        <v/>
      </c>
      <c r="V154" s="27">
        <f>IF(U154="","",U154*F154)</f>
        <v/>
      </c>
      <c r="W154" s="6">
        <f>IF(COUNTIF($A$2:A154,A154)=1,1,0)</f>
        <v/>
      </c>
    </row>
    <row r="155">
      <c r="A155" s="6" t="inlineStr">
        <is>
          <t>PO-1203</t>
        </is>
      </c>
      <c r="B155" s="6" t="inlineStr">
        <is>
          <t>SUP-003</t>
        </is>
      </c>
      <c r="C155" s="6" t="inlineStr">
        <is>
          <t>GPU Servers</t>
        </is>
      </c>
      <c r="D155" s="6" t="n">
        <v>8471.5</v>
      </c>
      <c r="E155" s="26" t="n">
        <v>45904</v>
      </c>
      <c r="F155" s="6" t="n">
        <v>20</v>
      </c>
      <c r="G155" s="27" t="n">
        <v>17535.87</v>
      </c>
      <c r="H155" s="6" t="inlineStr">
        <is>
          <t>FOB</t>
        </is>
      </c>
      <c r="I155" s="6" t="inlineStr">
        <is>
          <t>Air</t>
        </is>
      </c>
      <c r="J155" s="26" t="n">
        <v>45940</v>
      </c>
      <c r="K155" s="26" t="n">
        <v>45938</v>
      </c>
      <c r="L155" s="6" t="n">
        <v>4</v>
      </c>
      <c r="M155" s="6" t="inlineStr">
        <is>
          <t>N</t>
        </is>
      </c>
      <c r="N155" s="6" t="inlineStr">
        <is>
          <t>Delivered</t>
        </is>
      </c>
      <c r="O155" s="6">
        <f>IF(K155="",0,K155-E155)</f>
        <v/>
      </c>
      <c r="P155" s="6">
        <f>IF(N155&lt;&gt;"Delivered","",IF(K155&lt;=J155,1,0))</f>
        <v/>
      </c>
      <c r="Q155" s="6">
        <f>IFERROR(INDEX(Raw_Suppliers!$C$2:$C$4,MATCH(B155,Raw_Suppliers!$A$2:$A$4,0)),"")</f>
        <v/>
      </c>
      <c r="R155" s="6">
        <f>Q155&amp;"|"&amp;D155</f>
        <v/>
      </c>
      <c r="S155" s="28">
        <f>IFERROR(INDEX(Raw_Tariff_Ref!$H$2:$H$10,MATCH(R155,Raw_Tariff_Ref!$I$2:$I$10,0)),0)</f>
        <v/>
      </c>
      <c r="T155" s="27">
        <f>IF(G155="","",G155*F155)</f>
        <v/>
      </c>
      <c r="U155" s="27">
        <f>IF(G155="","",G155*(1+S155))</f>
        <v/>
      </c>
      <c r="V155" s="27">
        <f>IF(U155="","",U155*F155)</f>
        <v/>
      </c>
      <c r="W155" s="6">
        <f>IF(COUNTIF($A$2:A155,A155)=1,1,0)</f>
        <v/>
      </c>
    </row>
    <row r="156">
      <c r="A156" s="6" t="inlineStr">
        <is>
          <t>PO-1216</t>
        </is>
      </c>
      <c r="B156" s="6" t="inlineStr">
        <is>
          <t>SUP-002</t>
        </is>
      </c>
      <c r="C156" s="6" t="inlineStr">
        <is>
          <t>GPU Servers</t>
        </is>
      </c>
      <c r="D156" s="6" t="n">
        <v>8471.5</v>
      </c>
      <c r="E156" s="26" t="n">
        <v>45905</v>
      </c>
      <c r="F156" s="6" t="n">
        <v>25</v>
      </c>
      <c r="G156" s="27" t="n">
        <v>16613.26</v>
      </c>
      <c r="H156" s="6" t="inlineStr">
        <is>
          <t>CIF</t>
        </is>
      </c>
      <c r="I156" s="6" t="inlineStr">
        <is>
          <t>Ocean</t>
        </is>
      </c>
      <c r="J156" s="26" t="n">
        <v>45923</v>
      </c>
      <c r="K156" s="26" t="n">
        <v>45921</v>
      </c>
      <c r="L156" s="6" t="n">
        <v>1</v>
      </c>
      <c r="M156" s="6" t="inlineStr">
        <is>
          <t>N</t>
        </is>
      </c>
      <c r="N156" s="6" t="inlineStr">
        <is>
          <t>Delivered</t>
        </is>
      </c>
      <c r="O156" s="6">
        <f>IF(K156="",0,K156-E156)</f>
        <v/>
      </c>
      <c r="P156" s="6">
        <f>IF(N156&lt;&gt;"Delivered","",IF(K156&lt;=J156,1,0))</f>
        <v/>
      </c>
      <c r="Q156" s="6">
        <f>IFERROR(INDEX(Raw_Suppliers!$C$2:$C$4,MATCH(B156,Raw_Suppliers!$A$2:$A$4,0)),"")</f>
        <v/>
      </c>
      <c r="R156" s="6">
        <f>Q156&amp;"|"&amp;D156</f>
        <v/>
      </c>
      <c r="S156" s="28">
        <f>IFERROR(INDEX(Raw_Tariff_Ref!$H$2:$H$10,MATCH(R156,Raw_Tariff_Ref!$I$2:$I$10,0)),0)</f>
        <v/>
      </c>
      <c r="T156" s="27">
        <f>IF(G156="","",G156*F156)</f>
        <v/>
      </c>
      <c r="U156" s="27">
        <f>IF(G156="","",G156*(1+S156))</f>
        <v/>
      </c>
      <c r="V156" s="27">
        <f>IF(U156="","",U156*F156)</f>
        <v/>
      </c>
      <c r="W156" s="6">
        <f>IF(COUNTIF($A$2:A156,A156)=1,1,0)</f>
        <v/>
      </c>
    </row>
    <row r="157">
      <c r="A157" s="6" t="inlineStr">
        <is>
          <t>PO-1324</t>
        </is>
      </c>
      <c r="B157" s="6" t="inlineStr">
        <is>
          <t>SUP-002</t>
        </is>
      </c>
      <c r="C157" s="6" t="inlineStr">
        <is>
          <t>Network Switches</t>
        </is>
      </c>
      <c r="D157" s="6" t="n">
        <v>8517.620000000001</v>
      </c>
      <c r="E157" s="26" t="n">
        <v>45906</v>
      </c>
      <c r="F157" s="6" t="n">
        <v>5</v>
      </c>
      <c r="G157" s="27" t="n">
        <v>4306.39</v>
      </c>
      <c r="H157" s="6" t="inlineStr">
        <is>
          <t>FOB</t>
        </is>
      </c>
      <c r="I157" s="6" t="inlineStr">
        <is>
          <t>Ocean</t>
        </is>
      </c>
      <c r="J157" s="26" t="n">
        <v>45924</v>
      </c>
      <c r="K157" s="26" t="n">
        <v>45923</v>
      </c>
      <c r="L157" s="6" t="n">
        <v>4</v>
      </c>
      <c r="M157" s="6" t="inlineStr">
        <is>
          <t>N</t>
        </is>
      </c>
      <c r="N157" s="6" t="inlineStr">
        <is>
          <t>Delivered</t>
        </is>
      </c>
      <c r="O157" s="6">
        <f>IF(K157="",0,K157-E157)</f>
        <v/>
      </c>
      <c r="P157" s="6">
        <f>IF(N157&lt;&gt;"Delivered","",IF(K157&lt;=J157,1,0))</f>
        <v/>
      </c>
      <c r="Q157" s="6">
        <f>IFERROR(INDEX(Raw_Suppliers!$C$2:$C$4,MATCH(B157,Raw_Suppliers!$A$2:$A$4,0)),"")</f>
        <v/>
      </c>
      <c r="R157" s="6">
        <f>Q157&amp;"|"&amp;D157</f>
        <v/>
      </c>
      <c r="S157" s="28">
        <f>IFERROR(INDEX(Raw_Tariff_Ref!$H$2:$H$10,MATCH(R157,Raw_Tariff_Ref!$I$2:$I$10,0)),0)</f>
        <v/>
      </c>
      <c r="T157" s="27">
        <f>IF(G157="","",G157*F157)</f>
        <v/>
      </c>
      <c r="U157" s="27">
        <f>IF(G157="","",G157*(1+S157))</f>
        <v/>
      </c>
      <c r="V157" s="27">
        <f>IF(U157="","",U157*F157)</f>
        <v/>
      </c>
      <c r="W157" s="6">
        <f>IF(COUNTIF($A$2:A157,A157)=1,1,0)</f>
        <v/>
      </c>
    </row>
    <row r="158">
      <c r="A158" s="6" t="inlineStr">
        <is>
          <t>PO-1143</t>
        </is>
      </c>
      <c r="B158" s="6" t="inlineStr">
        <is>
          <t>SUP-001</t>
        </is>
      </c>
      <c r="C158" s="6" t="inlineStr">
        <is>
          <t>PDU / MEP Equipment</t>
        </is>
      </c>
      <c r="D158" s="6" t="n">
        <v>8537.1</v>
      </c>
      <c r="E158" s="26" t="n">
        <v>45906</v>
      </c>
      <c r="F158" s="6" t="n">
        <v>10</v>
      </c>
      <c r="G158" s="27" t="n">
        <v>2714.58</v>
      </c>
      <c r="H158" s="6" t="inlineStr">
        <is>
          <t>DDP</t>
        </is>
      </c>
      <c r="I158" s="6" t="inlineStr">
        <is>
          <t>Truck</t>
        </is>
      </c>
      <c r="J158" s="26" t="n">
        <v>45918</v>
      </c>
      <c r="K158" s="26" t="n">
        <v>45938</v>
      </c>
      <c r="L158" s="6" t="n">
        <v>0</v>
      </c>
      <c r="M158" s="6" t="inlineStr">
        <is>
          <t>N</t>
        </is>
      </c>
      <c r="N158" s="6" t="inlineStr">
        <is>
          <t>Delivered</t>
        </is>
      </c>
      <c r="O158" s="6">
        <f>IF(K158="",0,K158-E158)</f>
        <v/>
      </c>
      <c r="P158" s="6">
        <f>IF(N158&lt;&gt;"Delivered","",IF(K158&lt;=J158,1,0))</f>
        <v/>
      </c>
      <c r="Q158" s="6">
        <f>IFERROR(INDEX(Raw_Suppliers!$C$2:$C$4,MATCH(B158,Raw_Suppliers!$A$2:$A$4,0)),"")</f>
        <v/>
      </c>
      <c r="R158" s="6">
        <f>Q158&amp;"|"&amp;D158</f>
        <v/>
      </c>
      <c r="S158" s="28">
        <f>IFERROR(INDEX(Raw_Tariff_Ref!$H$2:$H$10,MATCH(R158,Raw_Tariff_Ref!$I$2:$I$10,0)),0)</f>
        <v/>
      </c>
      <c r="T158" s="27">
        <f>IF(G158="","",G158*F158)</f>
        <v/>
      </c>
      <c r="U158" s="27">
        <f>IF(G158="","",G158*(1+S158))</f>
        <v/>
      </c>
      <c r="V158" s="27">
        <f>IF(U158="","",U158*F158)</f>
        <v/>
      </c>
      <c r="W158" s="6">
        <f>IF(COUNTIF($A$2:A158,A158)=1,1,0)</f>
        <v/>
      </c>
    </row>
    <row r="159">
      <c r="A159" s="6" t="inlineStr">
        <is>
          <t>PO-1086</t>
        </is>
      </c>
      <c r="B159" s="6" t="inlineStr">
        <is>
          <t>SUP-003</t>
        </is>
      </c>
      <c r="C159" s="6" t="inlineStr">
        <is>
          <t>PDU / MEP Equipment</t>
        </is>
      </c>
      <c r="D159" s="6" t="n">
        <v>8537.1</v>
      </c>
      <c r="E159" s="26" t="n">
        <v>45907</v>
      </c>
      <c r="F159" s="6" t="n">
        <v>16</v>
      </c>
      <c r="G159" s="27" t="n">
        <v>1511.72</v>
      </c>
      <c r="H159" s="6" t="inlineStr">
        <is>
          <t>CIF</t>
        </is>
      </c>
      <c r="I159" s="6" t="inlineStr">
        <is>
          <t>Air</t>
        </is>
      </c>
      <c r="J159" s="26" t="n">
        <v>45926</v>
      </c>
      <c r="K159" s="26" t="n">
        <v>45924</v>
      </c>
      <c r="L159" s="6" t="n">
        <v>9</v>
      </c>
      <c r="M159" s="6" t="inlineStr">
        <is>
          <t>Y</t>
        </is>
      </c>
      <c r="N159" s="6" t="inlineStr">
        <is>
          <t>Delivered</t>
        </is>
      </c>
      <c r="O159" s="6">
        <f>IF(K159="",0,K159-E159)</f>
        <v/>
      </c>
      <c r="P159" s="6">
        <f>IF(N159&lt;&gt;"Delivered","",IF(K159&lt;=J159,1,0))</f>
        <v/>
      </c>
      <c r="Q159" s="6">
        <f>IFERROR(INDEX(Raw_Suppliers!$C$2:$C$4,MATCH(B159,Raw_Suppliers!$A$2:$A$4,0)),"")</f>
        <v/>
      </c>
      <c r="R159" s="6">
        <f>Q159&amp;"|"&amp;D159</f>
        <v/>
      </c>
      <c r="S159" s="28">
        <f>IFERROR(INDEX(Raw_Tariff_Ref!$H$2:$H$10,MATCH(R159,Raw_Tariff_Ref!$I$2:$I$10,0)),0)</f>
        <v/>
      </c>
      <c r="T159" s="27">
        <f>IF(G159="","",G159*F159)</f>
        <v/>
      </c>
      <c r="U159" s="27">
        <f>IF(G159="","",G159*(1+S159))</f>
        <v/>
      </c>
      <c r="V159" s="27">
        <f>IF(U159="","",U159*F159)</f>
        <v/>
      </c>
      <c r="W159" s="6">
        <f>IF(COUNTIF($A$2:A159,A159)=1,1,0)</f>
        <v/>
      </c>
    </row>
    <row r="160">
      <c r="A160" s="6" t="inlineStr">
        <is>
          <t>PO-1092</t>
        </is>
      </c>
      <c r="B160" s="6" t="inlineStr">
        <is>
          <t>SUP-001</t>
        </is>
      </c>
      <c r="C160" s="6" t="inlineStr">
        <is>
          <t>PDU / MEP Equipment</t>
        </is>
      </c>
      <c r="D160" s="6" t="n">
        <v>8537.1</v>
      </c>
      <c r="E160" s="26" t="n">
        <v>45909</v>
      </c>
      <c r="F160" s="6" t="n">
        <v>5</v>
      </c>
      <c r="G160" s="27" t="n">
        <v>2507.09</v>
      </c>
      <c r="H160" s="6" t="inlineStr">
        <is>
          <t>DDP</t>
        </is>
      </c>
      <c r="I160" s="6" t="inlineStr">
        <is>
          <t>Air</t>
        </is>
      </c>
      <c r="J160" s="26" t="n">
        <v>45918</v>
      </c>
      <c r="K160" s="26" t="n">
        <v>45918</v>
      </c>
      <c r="L160" s="6" t="n">
        <v>1</v>
      </c>
      <c r="M160" s="6" t="inlineStr">
        <is>
          <t>N</t>
        </is>
      </c>
      <c r="N160" s="6" t="inlineStr">
        <is>
          <t>Delivered</t>
        </is>
      </c>
      <c r="O160" s="6">
        <f>IF(K160="",0,K160-E160)</f>
        <v/>
      </c>
      <c r="P160" s="6">
        <f>IF(N160&lt;&gt;"Delivered","",IF(K160&lt;=J160,1,0))</f>
        <v/>
      </c>
      <c r="Q160" s="6">
        <f>IFERROR(INDEX(Raw_Suppliers!$C$2:$C$4,MATCH(B160,Raw_Suppliers!$A$2:$A$4,0)),"")</f>
        <v/>
      </c>
      <c r="R160" s="6">
        <f>Q160&amp;"|"&amp;D160</f>
        <v/>
      </c>
      <c r="S160" s="28">
        <f>IFERROR(INDEX(Raw_Tariff_Ref!$H$2:$H$10,MATCH(R160,Raw_Tariff_Ref!$I$2:$I$10,0)),0)</f>
        <v/>
      </c>
      <c r="T160" s="27">
        <f>IF(G160="","",G160*F160)</f>
        <v/>
      </c>
      <c r="U160" s="27">
        <f>IF(G160="","",G160*(1+S160))</f>
        <v/>
      </c>
      <c r="V160" s="27">
        <f>IF(U160="","",U160*F160)</f>
        <v/>
      </c>
      <c r="W160" s="6">
        <f>IF(COUNTIF($A$2:A160,A160)=1,1,0)</f>
        <v/>
      </c>
    </row>
    <row r="161">
      <c r="A161" s="6" t="inlineStr">
        <is>
          <t>PO-1214</t>
        </is>
      </c>
      <c r="B161" s="6" t="inlineStr">
        <is>
          <t>SUP-002</t>
        </is>
      </c>
      <c r="C161" s="6" t="inlineStr">
        <is>
          <t>Network Switches</t>
        </is>
      </c>
      <c r="D161" s="6" t="n">
        <v>8517.620000000001</v>
      </c>
      <c r="E161" s="26" t="n">
        <v>45909</v>
      </c>
      <c r="F161" s="6" t="n">
        <v>40</v>
      </c>
      <c r="G161" s="27" t="n">
        <v>3700</v>
      </c>
      <c r="H161" s="6" t="inlineStr">
        <is>
          <t>FOB</t>
        </is>
      </c>
      <c r="I161" s="6" t="inlineStr">
        <is>
          <t>Truck</t>
        </is>
      </c>
      <c r="J161" s="26" t="n">
        <v>45926</v>
      </c>
      <c r="K161" s="26" t="n">
        <v>45924</v>
      </c>
      <c r="L161" s="6" t="n">
        <v>1</v>
      </c>
      <c r="M161" s="6" t="inlineStr">
        <is>
          <t>Y</t>
        </is>
      </c>
      <c r="N161" s="6" t="inlineStr">
        <is>
          <t>Delivered</t>
        </is>
      </c>
      <c r="O161" s="6">
        <f>IF(K161="",0,K161-E161)</f>
        <v/>
      </c>
      <c r="P161" s="6">
        <f>IF(N161&lt;&gt;"Delivered","",IF(K161&lt;=J161,1,0))</f>
        <v/>
      </c>
      <c r="Q161" s="6">
        <f>IFERROR(INDEX(Raw_Suppliers!$C$2:$C$4,MATCH(B161,Raw_Suppliers!$A$2:$A$4,0)),"")</f>
        <v/>
      </c>
      <c r="R161" s="6">
        <f>Q161&amp;"|"&amp;D161</f>
        <v/>
      </c>
      <c r="S161" s="28">
        <f>IFERROR(INDEX(Raw_Tariff_Ref!$H$2:$H$10,MATCH(R161,Raw_Tariff_Ref!$I$2:$I$10,0)),0)</f>
        <v/>
      </c>
      <c r="T161" s="27">
        <f>IF(G161="","",G161*F161)</f>
        <v/>
      </c>
      <c r="U161" s="27">
        <f>IF(G161="","",G161*(1+S161))</f>
        <v/>
      </c>
      <c r="V161" s="27">
        <f>IF(U161="","",U161*F161)</f>
        <v/>
      </c>
      <c r="W161" s="6">
        <f>IF(COUNTIF($A$2:A161,A161)=1,1,0)</f>
        <v/>
      </c>
    </row>
    <row r="162">
      <c r="A162" s="6" t="inlineStr">
        <is>
          <t>PO-1243</t>
        </is>
      </c>
      <c r="B162" s="6" t="inlineStr">
        <is>
          <t>SUP-003</t>
        </is>
      </c>
      <c r="C162" s="6" t="inlineStr">
        <is>
          <t>GPU Servers</t>
        </is>
      </c>
      <c r="D162" s="6" t="n">
        <v>8471.5</v>
      </c>
      <c r="E162" s="26" t="n">
        <v>45911</v>
      </c>
      <c r="F162" s="6" t="n">
        <v>16</v>
      </c>
      <c r="G162" s="27" t="n">
        <v>16024.16</v>
      </c>
      <c r="H162" s="6" t="inlineStr">
        <is>
          <t>FOB</t>
        </is>
      </c>
      <c r="I162" s="6" t="inlineStr">
        <is>
          <t>Air</t>
        </is>
      </c>
      <c r="J162" s="26" t="n">
        <v>45949</v>
      </c>
      <c r="K162" s="26" t="n">
        <v>45947</v>
      </c>
      <c r="L162" s="6" t="n">
        <v>7</v>
      </c>
      <c r="M162" s="6" t="inlineStr">
        <is>
          <t>N</t>
        </is>
      </c>
      <c r="N162" s="6" t="inlineStr">
        <is>
          <t>Delivered</t>
        </is>
      </c>
      <c r="O162" s="6">
        <f>IF(K162="",0,K162-E162)</f>
        <v/>
      </c>
      <c r="P162" s="6">
        <f>IF(N162&lt;&gt;"Delivered","",IF(K162&lt;=J162,1,0))</f>
        <v/>
      </c>
      <c r="Q162" s="6">
        <f>IFERROR(INDEX(Raw_Suppliers!$C$2:$C$4,MATCH(B162,Raw_Suppliers!$A$2:$A$4,0)),"")</f>
        <v/>
      </c>
      <c r="R162" s="6">
        <f>Q162&amp;"|"&amp;D162</f>
        <v/>
      </c>
      <c r="S162" s="28">
        <f>IFERROR(INDEX(Raw_Tariff_Ref!$H$2:$H$10,MATCH(R162,Raw_Tariff_Ref!$I$2:$I$10,0)),0)</f>
        <v/>
      </c>
      <c r="T162" s="27">
        <f>IF(G162="","",G162*F162)</f>
        <v/>
      </c>
      <c r="U162" s="27">
        <f>IF(G162="","",G162*(1+S162))</f>
        <v/>
      </c>
      <c r="V162" s="27">
        <f>IF(U162="","",U162*F162)</f>
        <v/>
      </c>
      <c r="W162" s="6">
        <f>IF(COUNTIF($A$2:A162,A162)=1,1,0)</f>
        <v/>
      </c>
    </row>
    <row r="163">
      <c r="A163" s="6" t="inlineStr">
        <is>
          <t>PO-1295</t>
        </is>
      </c>
      <c r="B163" s="6" t="inlineStr">
        <is>
          <t>SUP-001</t>
        </is>
      </c>
      <c r="C163" s="6" t="inlineStr">
        <is>
          <t>GPU Servers</t>
        </is>
      </c>
      <c r="D163" s="6" t="n">
        <v>8471.5</v>
      </c>
      <c r="E163" s="26" t="n">
        <v>45913</v>
      </c>
      <c r="F163" s="6" t="n">
        <v>16</v>
      </c>
      <c r="G163" s="27" t="n">
        <v>24419.09</v>
      </c>
      <c r="H163" s="6" t="inlineStr">
        <is>
          <t>FOB</t>
        </is>
      </c>
      <c r="I163" s="6" t="inlineStr">
        <is>
          <t>Truck</t>
        </is>
      </c>
      <c r="J163" s="26" t="n">
        <v>45930</v>
      </c>
      <c r="K163" s="26" t="n">
        <v>45929</v>
      </c>
      <c r="L163" s="6" t="n">
        <v>1</v>
      </c>
      <c r="M163" s="6" t="inlineStr">
        <is>
          <t>N</t>
        </is>
      </c>
      <c r="N163" s="6" t="inlineStr">
        <is>
          <t>Delivered</t>
        </is>
      </c>
      <c r="O163" s="6">
        <f>IF(K163="",0,K163-E163)</f>
        <v/>
      </c>
      <c r="P163" s="6">
        <f>IF(N163&lt;&gt;"Delivered","",IF(K163&lt;=J163,1,0))</f>
        <v/>
      </c>
      <c r="Q163" s="6">
        <f>IFERROR(INDEX(Raw_Suppliers!$C$2:$C$4,MATCH(B163,Raw_Suppliers!$A$2:$A$4,0)),"")</f>
        <v/>
      </c>
      <c r="R163" s="6">
        <f>Q163&amp;"|"&amp;D163</f>
        <v/>
      </c>
      <c r="S163" s="28">
        <f>IFERROR(INDEX(Raw_Tariff_Ref!$H$2:$H$10,MATCH(R163,Raw_Tariff_Ref!$I$2:$I$10,0)),0)</f>
        <v/>
      </c>
      <c r="T163" s="27">
        <f>IF(G163="","",G163*F163)</f>
        <v/>
      </c>
      <c r="U163" s="27">
        <f>IF(G163="","",G163*(1+S163))</f>
        <v/>
      </c>
      <c r="V163" s="27">
        <f>IF(U163="","",U163*F163)</f>
        <v/>
      </c>
      <c r="W163" s="6">
        <f>IF(COUNTIF($A$2:A163,A163)=1,1,0)</f>
        <v/>
      </c>
    </row>
    <row r="164">
      <c r="A164" s="6" t="inlineStr">
        <is>
          <t>PO-1191</t>
        </is>
      </c>
      <c r="B164" s="6" t="inlineStr">
        <is>
          <t>SUP-002</t>
        </is>
      </c>
      <c r="C164" s="6" t="inlineStr">
        <is>
          <t>Network Switches</t>
        </is>
      </c>
      <c r="D164" s="6" t="n">
        <v>8517.620000000001</v>
      </c>
      <c r="E164" s="26" t="n">
        <v>45915</v>
      </c>
      <c r="F164" s="6" t="n">
        <v>8</v>
      </c>
      <c r="G164" s="27" t="n">
        <v>3790.2</v>
      </c>
      <c r="H164" s="6" t="inlineStr">
        <is>
          <t>CIF</t>
        </is>
      </c>
      <c r="I164" s="6" t="inlineStr">
        <is>
          <t>Ocean</t>
        </is>
      </c>
      <c r="J164" s="26" t="n">
        <v>45941</v>
      </c>
      <c r="K164" s="26" t="n">
        <v>45940</v>
      </c>
      <c r="L164" s="6" t="n">
        <v>2</v>
      </c>
      <c r="M164" s="6" t="inlineStr">
        <is>
          <t>N</t>
        </is>
      </c>
      <c r="N164" s="6" t="inlineStr">
        <is>
          <t>Delivered</t>
        </is>
      </c>
      <c r="O164" s="6">
        <f>IF(K164="",0,K164-E164)</f>
        <v/>
      </c>
      <c r="P164" s="6">
        <f>IF(N164&lt;&gt;"Delivered","",IF(K164&lt;=J164,1,0))</f>
        <v/>
      </c>
      <c r="Q164" s="6">
        <f>IFERROR(INDEX(Raw_Suppliers!$C$2:$C$4,MATCH(B164,Raw_Suppliers!$A$2:$A$4,0)),"")</f>
        <v/>
      </c>
      <c r="R164" s="6">
        <f>Q164&amp;"|"&amp;D164</f>
        <v/>
      </c>
      <c r="S164" s="28">
        <f>IFERROR(INDEX(Raw_Tariff_Ref!$H$2:$H$10,MATCH(R164,Raw_Tariff_Ref!$I$2:$I$10,0)),0)</f>
        <v/>
      </c>
      <c r="T164" s="27">
        <f>IF(G164="","",G164*F164)</f>
        <v/>
      </c>
      <c r="U164" s="27">
        <f>IF(G164="","",G164*(1+S164))</f>
        <v/>
      </c>
      <c r="V164" s="27">
        <f>IF(U164="","",U164*F164)</f>
        <v/>
      </c>
      <c r="W164" s="6">
        <f>IF(COUNTIF($A$2:A164,A164)=1,1,0)</f>
        <v/>
      </c>
    </row>
    <row r="165">
      <c r="A165" s="6" t="inlineStr">
        <is>
          <t>PO-1213</t>
        </is>
      </c>
      <c r="B165" s="6" t="inlineStr">
        <is>
          <t>SUP-002</t>
        </is>
      </c>
      <c r="C165" s="6" t="inlineStr">
        <is>
          <t>Network Switches</t>
        </is>
      </c>
      <c r="D165" s="6" t="n">
        <v>8517.620000000001</v>
      </c>
      <c r="E165" s="26" t="n">
        <v>45916</v>
      </c>
      <c r="F165" s="6" t="n">
        <v>10</v>
      </c>
      <c r="G165" s="27" t="n">
        <v>4325.07</v>
      </c>
      <c r="H165" s="6" t="inlineStr">
        <is>
          <t>FOB</t>
        </is>
      </c>
      <c r="I165" s="6" t="inlineStr">
        <is>
          <t>Truck</t>
        </is>
      </c>
      <c r="J165" s="26" t="n">
        <v>45930</v>
      </c>
      <c r="K165" s="26" t="n">
        <v>45928</v>
      </c>
      <c r="L165" s="6" t="n">
        <v>4</v>
      </c>
      <c r="M165" s="6" t="inlineStr">
        <is>
          <t>N</t>
        </is>
      </c>
      <c r="N165" s="6" t="inlineStr">
        <is>
          <t>Delivered</t>
        </is>
      </c>
      <c r="O165" s="6">
        <f>IF(K165="",0,K165-E165)</f>
        <v/>
      </c>
      <c r="P165" s="6">
        <f>IF(N165&lt;&gt;"Delivered","",IF(K165&lt;=J165,1,0))</f>
        <v/>
      </c>
      <c r="Q165" s="6">
        <f>IFERROR(INDEX(Raw_Suppliers!$C$2:$C$4,MATCH(B165,Raw_Suppliers!$A$2:$A$4,0)),"")</f>
        <v/>
      </c>
      <c r="R165" s="6">
        <f>Q165&amp;"|"&amp;D165</f>
        <v/>
      </c>
      <c r="S165" s="28">
        <f>IFERROR(INDEX(Raw_Tariff_Ref!$H$2:$H$10,MATCH(R165,Raw_Tariff_Ref!$I$2:$I$10,0)),0)</f>
        <v/>
      </c>
      <c r="T165" s="27">
        <f>IF(G165="","",G165*F165)</f>
        <v/>
      </c>
      <c r="U165" s="27">
        <f>IF(G165="","",G165*(1+S165))</f>
        <v/>
      </c>
      <c r="V165" s="27">
        <f>IF(U165="","",U165*F165)</f>
        <v/>
      </c>
      <c r="W165" s="6">
        <f>IF(COUNTIF($A$2:A165,A165)=1,1,0)</f>
        <v/>
      </c>
    </row>
    <row r="166">
      <c r="A166" s="6" t="inlineStr">
        <is>
          <t>PO-1325</t>
        </is>
      </c>
      <c r="B166" s="6" t="inlineStr">
        <is>
          <t>SUP-001</t>
        </is>
      </c>
      <c r="C166" s="6" t="inlineStr">
        <is>
          <t>GPU Servers</t>
        </is>
      </c>
      <c r="D166" s="6" t="n">
        <v>8471.5</v>
      </c>
      <c r="E166" s="26" t="n">
        <v>45918</v>
      </c>
      <c r="F166" s="6" t="n">
        <v>10</v>
      </c>
      <c r="G166" s="27" t="n">
        <v>23550.97</v>
      </c>
      <c r="H166" s="6" t="inlineStr">
        <is>
          <t>FOB</t>
        </is>
      </c>
      <c r="I166" s="6" t="inlineStr">
        <is>
          <t>Truck</t>
        </is>
      </c>
      <c r="J166" s="26" t="n">
        <v>45929</v>
      </c>
      <c r="K166" s="26" t="n">
        <v>45928</v>
      </c>
      <c r="L166" s="6" t="n">
        <v>1</v>
      </c>
      <c r="M166" s="6" t="inlineStr">
        <is>
          <t>N</t>
        </is>
      </c>
      <c r="N166" s="6" t="inlineStr">
        <is>
          <t>Delivered</t>
        </is>
      </c>
      <c r="O166" s="6">
        <f>IF(K166="",0,K166-E166)</f>
        <v/>
      </c>
      <c r="P166" s="6">
        <f>IF(N166&lt;&gt;"Delivered","",IF(K166&lt;=J166,1,0))</f>
        <v/>
      </c>
      <c r="Q166" s="6">
        <f>IFERROR(INDEX(Raw_Suppliers!$C$2:$C$4,MATCH(B166,Raw_Suppliers!$A$2:$A$4,0)),"")</f>
        <v/>
      </c>
      <c r="R166" s="6">
        <f>Q166&amp;"|"&amp;D166</f>
        <v/>
      </c>
      <c r="S166" s="28">
        <f>IFERROR(INDEX(Raw_Tariff_Ref!$H$2:$H$10,MATCH(R166,Raw_Tariff_Ref!$I$2:$I$10,0)),0)</f>
        <v/>
      </c>
      <c r="T166" s="27">
        <f>IF(G166="","",G166*F166)</f>
        <v/>
      </c>
      <c r="U166" s="27">
        <f>IF(G166="","",G166*(1+S166))</f>
        <v/>
      </c>
      <c r="V166" s="27">
        <f>IF(U166="","",U166*F166)</f>
        <v/>
      </c>
      <c r="W166" s="6">
        <f>IF(COUNTIF($A$2:A166,A166)=1,1,0)</f>
        <v/>
      </c>
    </row>
    <row r="167">
      <c r="A167" s="6" t="inlineStr">
        <is>
          <t>PO-1173</t>
        </is>
      </c>
      <c r="B167" s="6" t="inlineStr">
        <is>
          <t>SUP-003</t>
        </is>
      </c>
      <c r="C167" s="6" t="inlineStr">
        <is>
          <t>PDU / MEP Equipment</t>
        </is>
      </c>
      <c r="D167" s="6" t="n">
        <v>8537.1</v>
      </c>
      <c r="E167" s="26" t="n">
        <v>45919</v>
      </c>
      <c r="F167" s="6" t="n">
        <v>10</v>
      </c>
      <c r="G167" s="27" t="n">
        <v>1782.77</v>
      </c>
      <c r="H167" s="6" t="inlineStr">
        <is>
          <t>FOB</t>
        </is>
      </c>
      <c r="I167" s="6" t="inlineStr">
        <is>
          <t>Ocean</t>
        </is>
      </c>
      <c r="J167" s="26" t="n">
        <v>45947</v>
      </c>
      <c r="K167" s="26" t="n">
        <v>45947</v>
      </c>
      <c r="L167" s="6" t="n">
        <v>11</v>
      </c>
      <c r="M167" s="6" t="inlineStr">
        <is>
          <t>N</t>
        </is>
      </c>
      <c r="N167" s="6" t="inlineStr">
        <is>
          <t>Delivered</t>
        </is>
      </c>
      <c r="O167" s="6">
        <f>IF(K167="",0,K167-E167)</f>
        <v/>
      </c>
      <c r="P167" s="6">
        <f>IF(N167&lt;&gt;"Delivered","",IF(K167&lt;=J167,1,0))</f>
        <v/>
      </c>
      <c r="Q167" s="6">
        <f>IFERROR(INDEX(Raw_Suppliers!$C$2:$C$4,MATCH(B167,Raw_Suppliers!$A$2:$A$4,0)),"")</f>
        <v/>
      </c>
      <c r="R167" s="6">
        <f>Q167&amp;"|"&amp;D167</f>
        <v/>
      </c>
      <c r="S167" s="28">
        <f>IFERROR(INDEX(Raw_Tariff_Ref!$H$2:$H$10,MATCH(R167,Raw_Tariff_Ref!$I$2:$I$10,0)),0)</f>
        <v/>
      </c>
      <c r="T167" s="27">
        <f>IF(G167="","",G167*F167)</f>
        <v/>
      </c>
      <c r="U167" s="27">
        <f>IF(G167="","",G167*(1+S167))</f>
        <v/>
      </c>
      <c r="V167" s="27">
        <f>IF(U167="","",U167*F167)</f>
        <v/>
      </c>
      <c r="W167" s="6">
        <f>IF(COUNTIF($A$2:A167,A167)=1,1,0)</f>
        <v/>
      </c>
    </row>
    <row r="168">
      <c r="A168" s="6" t="inlineStr">
        <is>
          <t>PO-1069</t>
        </is>
      </c>
      <c r="B168" s="6" t="inlineStr">
        <is>
          <t>SUP-001</t>
        </is>
      </c>
      <c r="C168" s="6" t="inlineStr">
        <is>
          <t>GPU Servers</t>
        </is>
      </c>
      <c r="D168" s="6" t="n">
        <v>8471.5</v>
      </c>
      <c r="E168" s="26" t="n">
        <v>45921</v>
      </c>
      <c r="F168" s="6" t="n">
        <v>4</v>
      </c>
      <c r="G168" s="27" t="n">
        <v>20171.88</v>
      </c>
      <c r="H168" s="6" t="inlineStr">
        <is>
          <t>DDP</t>
        </is>
      </c>
      <c r="I168" s="6" t="inlineStr">
        <is>
          <t>Air</t>
        </is>
      </c>
      <c r="J168" s="26" t="n">
        <v>45940</v>
      </c>
      <c r="K168" s="26" t="n">
        <v>45956</v>
      </c>
      <c r="L168" s="6" t="n">
        <v>0</v>
      </c>
      <c r="M168" s="6" t="inlineStr">
        <is>
          <t>N</t>
        </is>
      </c>
      <c r="N168" s="6" t="inlineStr">
        <is>
          <t>Delivered</t>
        </is>
      </c>
      <c r="O168" s="6">
        <f>IF(K168="",0,K168-E168)</f>
        <v/>
      </c>
      <c r="P168" s="6">
        <f>IF(N168&lt;&gt;"Delivered","",IF(K168&lt;=J168,1,0))</f>
        <v/>
      </c>
      <c r="Q168" s="6">
        <f>IFERROR(INDEX(Raw_Suppliers!$C$2:$C$4,MATCH(B168,Raw_Suppliers!$A$2:$A$4,0)),"")</f>
        <v/>
      </c>
      <c r="R168" s="6">
        <f>Q168&amp;"|"&amp;D168</f>
        <v/>
      </c>
      <c r="S168" s="28">
        <f>IFERROR(INDEX(Raw_Tariff_Ref!$H$2:$H$10,MATCH(R168,Raw_Tariff_Ref!$I$2:$I$10,0)),0)</f>
        <v/>
      </c>
      <c r="T168" s="27">
        <f>IF(G168="","",G168*F168)</f>
        <v/>
      </c>
      <c r="U168" s="27">
        <f>IF(G168="","",G168*(1+S168))</f>
        <v/>
      </c>
      <c r="V168" s="27">
        <f>IF(U168="","",U168*F168)</f>
        <v/>
      </c>
      <c r="W168" s="6">
        <f>IF(COUNTIF($A$2:A168,A168)=1,1,0)</f>
        <v/>
      </c>
    </row>
    <row r="169">
      <c r="A169" s="6" t="inlineStr">
        <is>
          <t>PO-1131</t>
        </is>
      </c>
      <c r="B169" s="6" t="inlineStr">
        <is>
          <t>SUP-001</t>
        </is>
      </c>
      <c r="C169" s="6" t="inlineStr">
        <is>
          <t>GPU Servers</t>
        </is>
      </c>
      <c r="D169" s="6" t="n">
        <v>8471.5</v>
      </c>
      <c r="E169" s="26" t="n">
        <v>45925</v>
      </c>
      <c r="F169" s="6" t="n">
        <v>5</v>
      </c>
      <c r="G169" s="27" t="n">
        <v>20527.97</v>
      </c>
      <c r="H169" s="6" t="inlineStr">
        <is>
          <t>FOB</t>
        </is>
      </c>
      <c r="I169" s="6" t="inlineStr">
        <is>
          <t>Truck</t>
        </is>
      </c>
      <c r="J169" s="26" t="n">
        <v>45938</v>
      </c>
      <c r="K169" s="26" t="n">
        <v>45938</v>
      </c>
      <c r="L169" s="6" t="n">
        <v>1</v>
      </c>
      <c r="M169" s="6" t="inlineStr">
        <is>
          <t>N</t>
        </is>
      </c>
      <c r="N169" s="6" t="inlineStr">
        <is>
          <t>Delivered</t>
        </is>
      </c>
      <c r="O169" s="6">
        <f>IF(K169="",0,K169-E169)</f>
        <v/>
      </c>
      <c r="P169" s="6">
        <f>IF(N169&lt;&gt;"Delivered","",IF(K169&lt;=J169,1,0))</f>
        <v/>
      </c>
      <c r="Q169" s="6">
        <f>IFERROR(INDEX(Raw_Suppliers!$C$2:$C$4,MATCH(B169,Raw_Suppliers!$A$2:$A$4,0)),"")</f>
        <v/>
      </c>
      <c r="R169" s="6">
        <f>Q169&amp;"|"&amp;D169</f>
        <v/>
      </c>
      <c r="S169" s="28">
        <f>IFERROR(INDEX(Raw_Tariff_Ref!$H$2:$H$10,MATCH(R169,Raw_Tariff_Ref!$I$2:$I$10,0)),0)</f>
        <v/>
      </c>
      <c r="T169" s="27">
        <f>IF(G169="","",G169*F169)</f>
        <v/>
      </c>
      <c r="U169" s="27">
        <f>IF(G169="","",G169*(1+S169))</f>
        <v/>
      </c>
      <c r="V169" s="27">
        <f>IF(U169="","",U169*F169)</f>
        <v/>
      </c>
      <c r="W169" s="6">
        <f>IF(COUNTIF($A$2:A169,A169)=1,1,0)</f>
        <v/>
      </c>
    </row>
    <row r="170">
      <c r="A170" s="6" t="inlineStr">
        <is>
          <t>PO-1200</t>
        </is>
      </c>
      <c r="B170" s="6" t="inlineStr">
        <is>
          <t>SUP-001</t>
        </is>
      </c>
      <c r="C170" s="6" t="inlineStr">
        <is>
          <t>PDU / MEP Equipment</t>
        </is>
      </c>
      <c r="D170" s="6" t="n">
        <v>8537.1</v>
      </c>
      <c r="E170" s="26" t="n">
        <v>45926</v>
      </c>
      <c r="F170" s="6" t="n">
        <v>12</v>
      </c>
      <c r="G170" s="27" t="n">
        <v>2338.25</v>
      </c>
      <c r="H170" s="6" t="inlineStr">
        <is>
          <t>FOB</t>
        </is>
      </c>
      <c r="I170" s="6" t="inlineStr">
        <is>
          <t>Truck</t>
        </is>
      </c>
      <c r="J170" s="26" t="n">
        <v>45938</v>
      </c>
      <c r="K170" s="26" t="n">
        <v>45936</v>
      </c>
      <c r="L170" s="6" t="n">
        <v>1</v>
      </c>
      <c r="M170" s="6" t="inlineStr">
        <is>
          <t>N</t>
        </is>
      </c>
      <c r="N170" s="6" t="inlineStr">
        <is>
          <t>Delivered</t>
        </is>
      </c>
      <c r="O170" s="6">
        <f>IF(K170="",0,K170-E170)</f>
        <v/>
      </c>
      <c r="P170" s="6">
        <f>IF(N170&lt;&gt;"Delivered","",IF(K170&lt;=J170,1,0))</f>
        <v/>
      </c>
      <c r="Q170" s="6">
        <f>IFERROR(INDEX(Raw_Suppliers!$C$2:$C$4,MATCH(B170,Raw_Suppliers!$A$2:$A$4,0)),"")</f>
        <v/>
      </c>
      <c r="R170" s="6">
        <f>Q170&amp;"|"&amp;D170</f>
        <v/>
      </c>
      <c r="S170" s="28">
        <f>IFERROR(INDEX(Raw_Tariff_Ref!$H$2:$H$10,MATCH(R170,Raw_Tariff_Ref!$I$2:$I$10,0)),0)</f>
        <v/>
      </c>
      <c r="T170" s="27">
        <f>IF(G170="","",G170*F170)</f>
        <v/>
      </c>
      <c r="U170" s="27">
        <f>IF(G170="","",G170*(1+S170))</f>
        <v/>
      </c>
      <c r="V170" s="27">
        <f>IF(U170="","",U170*F170)</f>
        <v/>
      </c>
      <c r="W170" s="6">
        <f>IF(COUNTIF($A$2:A170,A170)=1,1,0)</f>
        <v/>
      </c>
    </row>
    <row r="171">
      <c r="A171" s="6" t="inlineStr">
        <is>
          <t>PO-1202</t>
        </is>
      </c>
      <c r="B171" s="6" t="inlineStr">
        <is>
          <t>SUP-003</t>
        </is>
      </c>
      <c r="C171" s="6" t="inlineStr">
        <is>
          <t>PDU / MEP Equipment</t>
        </is>
      </c>
      <c r="D171" s="6" t="n">
        <v>8537.1</v>
      </c>
      <c r="E171" s="26" t="n">
        <v>45930</v>
      </c>
      <c r="F171" s="6" t="n">
        <v>10</v>
      </c>
      <c r="G171" s="27" t="n">
        <v>1501.81</v>
      </c>
      <c r="H171" s="6" t="inlineStr">
        <is>
          <t>FOB</t>
        </is>
      </c>
      <c r="I171" s="6" t="inlineStr">
        <is>
          <t>Ocean</t>
        </is>
      </c>
      <c r="J171" s="26" t="n">
        <v>45959</v>
      </c>
      <c r="K171" s="26" t="n">
        <v>45958</v>
      </c>
      <c r="L171" s="6" t="n">
        <v>7</v>
      </c>
      <c r="M171" s="6" t="inlineStr">
        <is>
          <t>N</t>
        </is>
      </c>
      <c r="N171" s="6" t="inlineStr">
        <is>
          <t>Delivered</t>
        </is>
      </c>
      <c r="O171" s="6">
        <f>IF(K171="",0,K171-E171)</f>
        <v/>
      </c>
      <c r="P171" s="6">
        <f>IF(N171&lt;&gt;"Delivered","",IF(K171&lt;=J171,1,0))</f>
        <v/>
      </c>
      <c r="Q171" s="6">
        <f>IFERROR(INDEX(Raw_Suppliers!$C$2:$C$4,MATCH(B171,Raw_Suppliers!$A$2:$A$4,0)),"")</f>
        <v/>
      </c>
      <c r="R171" s="6">
        <f>Q171&amp;"|"&amp;D171</f>
        <v/>
      </c>
      <c r="S171" s="28">
        <f>IFERROR(INDEX(Raw_Tariff_Ref!$H$2:$H$10,MATCH(R171,Raw_Tariff_Ref!$I$2:$I$10,0)),0)</f>
        <v/>
      </c>
      <c r="T171" s="27">
        <f>IF(G171="","",G171*F171)</f>
        <v/>
      </c>
      <c r="U171" s="27">
        <f>IF(G171="","",G171*(1+S171))</f>
        <v/>
      </c>
      <c r="V171" s="27">
        <f>IF(U171="","",U171*F171)</f>
        <v/>
      </c>
      <c r="W171" s="6">
        <f>IF(COUNTIF($A$2:A171,A171)=1,1,0)</f>
        <v/>
      </c>
    </row>
    <row r="172">
      <c r="A172" s="6" t="inlineStr">
        <is>
          <t>PO-1006</t>
        </is>
      </c>
      <c r="B172" s="6" t="inlineStr">
        <is>
          <t>SUP-002</t>
        </is>
      </c>
      <c r="C172" s="6" t="inlineStr">
        <is>
          <t>Network Switches</t>
        </is>
      </c>
      <c r="D172" s="6" t="n">
        <v>8517.620000000001</v>
      </c>
      <c r="E172" s="26" t="n">
        <v>45936</v>
      </c>
      <c r="F172" s="6" t="n">
        <v>4</v>
      </c>
      <c r="G172" s="27" t="n">
        <v>3481.83</v>
      </c>
      <c r="H172" s="6" t="inlineStr">
        <is>
          <t>FOB</t>
        </is>
      </c>
      <c r="I172" s="6" t="inlineStr">
        <is>
          <t>Truck</t>
        </is>
      </c>
      <c r="J172" s="26" t="n">
        <v>45952</v>
      </c>
      <c r="K172" s="26" t="n">
        <v>45952</v>
      </c>
      <c r="L172" s="6" t="n">
        <v>2</v>
      </c>
      <c r="M172" s="6" t="inlineStr">
        <is>
          <t>N</t>
        </is>
      </c>
      <c r="N172" s="6" t="inlineStr">
        <is>
          <t>Delivered</t>
        </is>
      </c>
      <c r="O172" s="6">
        <f>IF(K172="",0,K172-E172)</f>
        <v/>
      </c>
      <c r="P172" s="6">
        <f>IF(N172&lt;&gt;"Delivered","",IF(K172&lt;=J172,1,0))</f>
        <v/>
      </c>
      <c r="Q172" s="6">
        <f>IFERROR(INDEX(Raw_Suppliers!$C$2:$C$4,MATCH(B172,Raw_Suppliers!$A$2:$A$4,0)),"")</f>
        <v/>
      </c>
      <c r="R172" s="6">
        <f>Q172&amp;"|"&amp;D172</f>
        <v/>
      </c>
      <c r="S172" s="28">
        <f>IFERROR(INDEX(Raw_Tariff_Ref!$H$2:$H$10,MATCH(R172,Raw_Tariff_Ref!$I$2:$I$10,0)),0)</f>
        <v/>
      </c>
      <c r="T172" s="27">
        <f>IF(G172="","",G172*F172)</f>
        <v/>
      </c>
      <c r="U172" s="27">
        <f>IF(G172="","",G172*(1+S172))</f>
        <v/>
      </c>
      <c r="V172" s="27">
        <f>IF(U172="","",U172*F172)</f>
        <v/>
      </c>
      <c r="W172" s="6">
        <f>IF(COUNTIF($A$2:A172,A172)=1,1,0)</f>
        <v/>
      </c>
    </row>
    <row r="173">
      <c r="A173" s="6" t="inlineStr">
        <is>
          <t>PO-1274</t>
        </is>
      </c>
      <c r="B173" s="6" t="inlineStr">
        <is>
          <t>SUP-003</t>
        </is>
      </c>
      <c r="C173" s="6" t="inlineStr">
        <is>
          <t>Network Switches</t>
        </is>
      </c>
      <c r="D173" s="6" t="n">
        <v>8517.620000000001</v>
      </c>
      <c r="E173" s="26" t="n">
        <v>45937</v>
      </c>
      <c r="F173" s="6" t="n">
        <v>12</v>
      </c>
      <c r="G173" s="27" t="n">
        <v>3109.3</v>
      </c>
      <c r="H173" s="6" t="inlineStr">
        <is>
          <t>EXW</t>
        </is>
      </c>
      <c r="I173" s="6" t="inlineStr">
        <is>
          <t>Air</t>
        </is>
      </c>
      <c r="J173" s="26" t="n">
        <v>45969</v>
      </c>
      <c r="K173" s="26" t="n">
        <v>45968</v>
      </c>
      <c r="L173" s="6" t="n">
        <v>8</v>
      </c>
      <c r="M173" s="6" t="inlineStr">
        <is>
          <t>N</t>
        </is>
      </c>
      <c r="N173" s="6" t="inlineStr">
        <is>
          <t>Delivered</t>
        </is>
      </c>
      <c r="O173" s="6">
        <f>IF(K173="",0,K173-E173)</f>
        <v/>
      </c>
      <c r="P173" s="6">
        <f>IF(N173&lt;&gt;"Delivered","",IF(K173&lt;=J173,1,0))</f>
        <v/>
      </c>
      <c r="Q173" s="6">
        <f>IFERROR(INDEX(Raw_Suppliers!$C$2:$C$4,MATCH(B173,Raw_Suppliers!$A$2:$A$4,0)),"")</f>
        <v/>
      </c>
      <c r="R173" s="6">
        <f>Q173&amp;"|"&amp;D173</f>
        <v/>
      </c>
      <c r="S173" s="28">
        <f>IFERROR(INDEX(Raw_Tariff_Ref!$H$2:$H$10,MATCH(R173,Raw_Tariff_Ref!$I$2:$I$10,0)),0)</f>
        <v/>
      </c>
      <c r="T173" s="27">
        <f>IF(G173="","",G173*F173)</f>
        <v/>
      </c>
      <c r="U173" s="27">
        <f>IF(G173="","",G173*(1+S173))</f>
        <v/>
      </c>
      <c r="V173" s="27">
        <f>IF(U173="","",U173*F173)</f>
        <v/>
      </c>
      <c r="W173" s="6">
        <f>IF(COUNTIF($A$2:A173,A173)=1,1,0)</f>
        <v/>
      </c>
    </row>
    <row r="174">
      <c r="A174" s="6" t="inlineStr">
        <is>
          <t>PO-1334</t>
        </is>
      </c>
      <c r="B174" s="6" t="inlineStr">
        <is>
          <t>SUP-002</t>
        </is>
      </c>
      <c r="C174" s="6" t="inlineStr">
        <is>
          <t>Network Switches</t>
        </is>
      </c>
      <c r="D174" s="6" t="n">
        <v>8517.620000000001</v>
      </c>
      <c r="E174" s="26" t="n">
        <v>45938</v>
      </c>
      <c r="F174" s="6" t="n">
        <v>4</v>
      </c>
      <c r="G174" s="27" t="n">
        <v>3587.65</v>
      </c>
      <c r="H174" s="6" t="inlineStr">
        <is>
          <t>CIF</t>
        </is>
      </c>
      <c r="I174" s="6" t="inlineStr">
        <is>
          <t>Ocean</t>
        </is>
      </c>
      <c r="J174" s="26" t="n">
        <v>45956</v>
      </c>
      <c r="K174" s="26" t="n">
        <v>45954</v>
      </c>
      <c r="L174" s="6" t="n">
        <v>2</v>
      </c>
      <c r="M174" s="6" t="inlineStr">
        <is>
          <t>N</t>
        </is>
      </c>
      <c r="N174" s="6" t="inlineStr">
        <is>
          <t>Delivered</t>
        </is>
      </c>
      <c r="O174" s="6">
        <f>IF(K174="",0,K174-E174)</f>
        <v/>
      </c>
      <c r="P174" s="6">
        <f>IF(N174&lt;&gt;"Delivered","",IF(K174&lt;=J174,1,0))</f>
        <v/>
      </c>
      <c r="Q174" s="6">
        <f>IFERROR(INDEX(Raw_Suppliers!$C$2:$C$4,MATCH(B174,Raw_Suppliers!$A$2:$A$4,0)),"")</f>
        <v/>
      </c>
      <c r="R174" s="6">
        <f>Q174&amp;"|"&amp;D174</f>
        <v/>
      </c>
      <c r="S174" s="28">
        <f>IFERROR(INDEX(Raw_Tariff_Ref!$H$2:$H$10,MATCH(R174,Raw_Tariff_Ref!$I$2:$I$10,0)),0)</f>
        <v/>
      </c>
      <c r="T174" s="27">
        <f>IF(G174="","",G174*F174)</f>
        <v/>
      </c>
      <c r="U174" s="27">
        <f>IF(G174="","",G174*(1+S174))</f>
        <v/>
      </c>
      <c r="V174" s="27">
        <f>IF(U174="","",U174*F174)</f>
        <v/>
      </c>
      <c r="W174" s="6">
        <f>IF(COUNTIF($A$2:A174,A174)=1,1,0)</f>
        <v/>
      </c>
    </row>
    <row r="175">
      <c r="A175" s="6" t="inlineStr">
        <is>
          <t>PO-1194</t>
        </is>
      </c>
      <c r="B175" s="6" t="inlineStr">
        <is>
          <t>SUP-001</t>
        </is>
      </c>
      <c r="C175" s="6" t="inlineStr">
        <is>
          <t>PDU / MEP Equipment</t>
        </is>
      </c>
      <c r="D175" s="6" t="n">
        <v>8537.1</v>
      </c>
      <c r="E175" s="26" t="n">
        <v>45941</v>
      </c>
      <c r="F175" s="6" t="n">
        <v>40</v>
      </c>
      <c r="G175" s="27" t="n">
        <v>2309.36</v>
      </c>
      <c r="H175" s="6" t="inlineStr">
        <is>
          <t>FOB</t>
        </is>
      </c>
      <c r="I175" s="6" t="inlineStr">
        <is>
          <t>Truck</t>
        </is>
      </c>
      <c r="J175" s="26" t="n">
        <v>45952</v>
      </c>
      <c r="K175" s="26" t="n">
        <v>45952</v>
      </c>
      <c r="L175" s="6" t="n">
        <v>0</v>
      </c>
      <c r="M175" s="6" t="inlineStr">
        <is>
          <t>N</t>
        </is>
      </c>
      <c r="N175" s="6" t="inlineStr">
        <is>
          <t>Delivered</t>
        </is>
      </c>
      <c r="O175" s="6">
        <f>IF(K175="",0,K175-E175)</f>
        <v/>
      </c>
      <c r="P175" s="6">
        <f>IF(N175&lt;&gt;"Delivered","",IF(K175&lt;=J175,1,0))</f>
        <v/>
      </c>
      <c r="Q175" s="6">
        <f>IFERROR(INDEX(Raw_Suppliers!$C$2:$C$4,MATCH(B175,Raw_Suppliers!$A$2:$A$4,0)),"")</f>
        <v/>
      </c>
      <c r="R175" s="6">
        <f>Q175&amp;"|"&amp;D175</f>
        <v/>
      </c>
      <c r="S175" s="28">
        <f>IFERROR(INDEX(Raw_Tariff_Ref!$H$2:$H$10,MATCH(R175,Raw_Tariff_Ref!$I$2:$I$10,0)),0)</f>
        <v/>
      </c>
      <c r="T175" s="27">
        <f>IF(G175="","",G175*F175)</f>
        <v/>
      </c>
      <c r="U175" s="27">
        <f>IF(G175="","",G175*(1+S175))</f>
        <v/>
      </c>
      <c r="V175" s="27">
        <f>IF(U175="","",U175*F175)</f>
        <v/>
      </c>
      <c r="W175" s="6">
        <f>IF(COUNTIF($A$2:A175,A175)=1,1,0)</f>
        <v/>
      </c>
    </row>
    <row r="176">
      <c r="A176" s="6" t="inlineStr">
        <is>
          <t>PO-1000</t>
        </is>
      </c>
      <c r="B176" s="6" t="inlineStr">
        <is>
          <t>SUP-003</t>
        </is>
      </c>
      <c r="C176" s="6" t="inlineStr">
        <is>
          <t>PDU / MEP Equipment</t>
        </is>
      </c>
      <c r="D176" s="6" t="n">
        <v>8537.1</v>
      </c>
      <c r="E176" s="26" t="n">
        <v>45944</v>
      </c>
      <c r="F176" s="6" t="n">
        <v>4</v>
      </c>
      <c r="G176" s="27" t="n">
        <v>2278.39</v>
      </c>
      <c r="H176" s="6" t="inlineStr">
        <is>
          <t>CIF</t>
        </is>
      </c>
      <c r="I176" s="6" t="inlineStr">
        <is>
          <t>Ocean</t>
        </is>
      </c>
      <c r="J176" s="26" t="n">
        <v>45982</v>
      </c>
      <c r="K176" s="26" t="n">
        <v>45980</v>
      </c>
      <c r="L176" s="6" t="n">
        <v>12</v>
      </c>
      <c r="M176" s="6" t="inlineStr">
        <is>
          <t>N</t>
        </is>
      </c>
      <c r="N176" s="6" t="inlineStr">
        <is>
          <t>Delivered</t>
        </is>
      </c>
      <c r="O176" s="6">
        <f>IF(K176="",0,K176-E176)</f>
        <v/>
      </c>
      <c r="P176" s="6">
        <f>IF(N176&lt;&gt;"Delivered","",IF(K176&lt;=J176,1,0))</f>
        <v/>
      </c>
      <c r="Q176" s="6">
        <f>IFERROR(INDEX(Raw_Suppliers!$C$2:$C$4,MATCH(B176,Raw_Suppliers!$A$2:$A$4,0)),"")</f>
        <v/>
      </c>
      <c r="R176" s="6">
        <f>Q176&amp;"|"&amp;D176</f>
        <v/>
      </c>
      <c r="S176" s="28">
        <f>IFERROR(INDEX(Raw_Tariff_Ref!$H$2:$H$10,MATCH(R176,Raw_Tariff_Ref!$I$2:$I$10,0)),0)</f>
        <v/>
      </c>
      <c r="T176" s="27">
        <f>IF(G176="","",G176*F176)</f>
        <v/>
      </c>
      <c r="U176" s="27">
        <f>IF(G176="","",G176*(1+S176))</f>
        <v/>
      </c>
      <c r="V176" s="27">
        <f>IF(U176="","",U176*F176)</f>
        <v/>
      </c>
      <c r="W176" s="6">
        <f>IF(COUNTIF($A$2:A176,A176)=1,1,0)</f>
        <v/>
      </c>
    </row>
    <row r="177">
      <c r="A177" s="6" t="inlineStr">
        <is>
          <t>PO-1283</t>
        </is>
      </c>
      <c r="B177" s="6" t="inlineStr">
        <is>
          <t>SUP-003</t>
        </is>
      </c>
      <c r="C177" s="6" t="inlineStr">
        <is>
          <t>PDU / MEP Equipment</t>
        </is>
      </c>
      <c r="D177" s="6" t="n">
        <v>8537.1</v>
      </c>
      <c r="E177" s="26" t="n">
        <v>45946</v>
      </c>
      <c r="F177" s="6" t="n">
        <v>25</v>
      </c>
      <c r="G177" s="27" t="n">
        <v>1690.96</v>
      </c>
      <c r="H177" s="6" t="inlineStr">
        <is>
          <t>CIF</t>
        </is>
      </c>
      <c r="I177" s="6" t="inlineStr">
        <is>
          <t>Air</t>
        </is>
      </c>
      <c r="J177" s="26" t="n">
        <v>45971</v>
      </c>
      <c r="K177" s="26" t="n">
        <v>45969</v>
      </c>
      <c r="L177" s="6" t="n">
        <v>3</v>
      </c>
      <c r="M177" s="6" t="inlineStr">
        <is>
          <t>N</t>
        </is>
      </c>
      <c r="N177" s="6" t="inlineStr">
        <is>
          <t>Delivered</t>
        </is>
      </c>
      <c r="O177" s="6">
        <f>IF(K177="",0,K177-E177)</f>
        <v/>
      </c>
      <c r="P177" s="6">
        <f>IF(N177&lt;&gt;"Delivered","",IF(K177&lt;=J177,1,0))</f>
        <v/>
      </c>
      <c r="Q177" s="6">
        <f>IFERROR(INDEX(Raw_Suppliers!$C$2:$C$4,MATCH(B177,Raw_Suppliers!$A$2:$A$4,0)),"")</f>
        <v/>
      </c>
      <c r="R177" s="6">
        <f>Q177&amp;"|"&amp;D177</f>
        <v/>
      </c>
      <c r="S177" s="28">
        <f>IFERROR(INDEX(Raw_Tariff_Ref!$H$2:$H$10,MATCH(R177,Raw_Tariff_Ref!$I$2:$I$10,0)),0)</f>
        <v/>
      </c>
      <c r="T177" s="27">
        <f>IF(G177="","",G177*F177)</f>
        <v/>
      </c>
      <c r="U177" s="27">
        <f>IF(G177="","",G177*(1+S177))</f>
        <v/>
      </c>
      <c r="V177" s="27">
        <f>IF(U177="","",U177*F177)</f>
        <v/>
      </c>
      <c r="W177" s="6">
        <f>IF(COUNTIF($A$2:A177,A177)=1,1,0)</f>
        <v/>
      </c>
    </row>
    <row r="178">
      <c r="A178" s="6" t="inlineStr">
        <is>
          <t>PO-1183</t>
        </is>
      </c>
      <c r="B178" s="6" t="inlineStr">
        <is>
          <t>SUP-001</t>
        </is>
      </c>
      <c r="C178" s="6" t="inlineStr">
        <is>
          <t>PDU / MEP Equipment</t>
        </is>
      </c>
      <c r="D178" s="6" t="n">
        <v>8537.1</v>
      </c>
      <c r="E178" s="26" t="n">
        <v>45949</v>
      </c>
      <c r="F178" s="6" t="n">
        <v>40</v>
      </c>
      <c r="G178" s="27" t="n">
        <v>3015.09</v>
      </c>
      <c r="H178" s="6" t="inlineStr">
        <is>
          <t>FOB</t>
        </is>
      </c>
      <c r="I178" s="6" t="inlineStr">
        <is>
          <t>Air</t>
        </is>
      </c>
      <c r="J178" s="26" t="n">
        <v>45960</v>
      </c>
      <c r="K178" s="26" t="n">
        <v>45960</v>
      </c>
      <c r="L178" s="6" t="n">
        <v>1</v>
      </c>
      <c r="M178" s="6" t="inlineStr">
        <is>
          <t>N</t>
        </is>
      </c>
      <c r="N178" s="6" t="inlineStr">
        <is>
          <t>Delivered</t>
        </is>
      </c>
      <c r="O178" s="6">
        <f>IF(K178="",0,K178-E178)</f>
        <v/>
      </c>
      <c r="P178" s="6">
        <f>IF(N178&lt;&gt;"Delivered","",IF(K178&lt;=J178,1,0))</f>
        <v/>
      </c>
      <c r="Q178" s="6">
        <f>IFERROR(INDEX(Raw_Suppliers!$C$2:$C$4,MATCH(B178,Raw_Suppliers!$A$2:$A$4,0)),"")</f>
        <v/>
      </c>
      <c r="R178" s="6">
        <f>Q178&amp;"|"&amp;D178</f>
        <v/>
      </c>
      <c r="S178" s="28">
        <f>IFERROR(INDEX(Raw_Tariff_Ref!$H$2:$H$10,MATCH(R178,Raw_Tariff_Ref!$I$2:$I$10,0)),0)</f>
        <v/>
      </c>
      <c r="T178" s="27">
        <f>IF(G178="","",G178*F178)</f>
        <v/>
      </c>
      <c r="U178" s="27">
        <f>IF(G178="","",G178*(1+S178))</f>
        <v/>
      </c>
      <c r="V178" s="27">
        <f>IF(U178="","",U178*F178)</f>
        <v/>
      </c>
      <c r="W178" s="6">
        <f>IF(COUNTIF($A$2:A178,A178)=1,1,0)</f>
        <v/>
      </c>
    </row>
    <row r="179">
      <c r="A179" s="6" t="inlineStr">
        <is>
          <t>PO-1235</t>
        </is>
      </c>
      <c r="B179" s="6" t="inlineStr">
        <is>
          <t>SUP-001</t>
        </is>
      </c>
      <c r="C179" s="6" t="inlineStr">
        <is>
          <t>GPU Servers</t>
        </is>
      </c>
      <c r="D179" s="6" t="n">
        <v>8471.5</v>
      </c>
      <c r="E179" s="26" t="n">
        <v>45950</v>
      </c>
      <c r="F179" s="6" t="n">
        <v>2</v>
      </c>
      <c r="G179" s="27" t="n">
        <v>23552.71</v>
      </c>
      <c r="H179" s="6" t="inlineStr">
        <is>
          <t>DDP</t>
        </is>
      </c>
      <c r="I179" s="6" t="inlineStr">
        <is>
          <t>truck</t>
        </is>
      </c>
      <c r="J179" s="26" t="n">
        <v>45966</v>
      </c>
      <c r="K179" s="26" t="n">
        <v>45966</v>
      </c>
      <c r="L179" s="6" t="n">
        <v>0</v>
      </c>
      <c r="M179" s="6" t="inlineStr">
        <is>
          <t>N</t>
        </is>
      </c>
      <c r="N179" s="6" t="inlineStr">
        <is>
          <t>Delivered</t>
        </is>
      </c>
      <c r="O179" s="6">
        <f>IF(K179="",0,K179-E179)</f>
        <v/>
      </c>
      <c r="P179" s="6">
        <f>IF(N179&lt;&gt;"Delivered","",IF(K179&lt;=J179,1,0))</f>
        <v/>
      </c>
      <c r="Q179" s="6">
        <f>IFERROR(INDEX(Raw_Suppliers!$C$2:$C$4,MATCH(B179,Raw_Suppliers!$A$2:$A$4,0)),"")</f>
        <v/>
      </c>
      <c r="R179" s="6">
        <f>Q179&amp;"|"&amp;D179</f>
        <v/>
      </c>
      <c r="S179" s="28">
        <f>IFERROR(INDEX(Raw_Tariff_Ref!$H$2:$H$10,MATCH(R179,Raw_Tariff_Ref!$I$2:$I$10,0)),0)</f>
        <v/>
      </c>
      <c r="T179" s="27">
        <f>IF(G179="","",G179*F179)</f>
        <v/>
      </c>
      <c r="U179" s="27">
        <f>IF(G179="","",G179*(1+S179))</f>
        <v/>
      </c>
      <c r="V179" s="27">
        <f>IF(U179="","",U179*F179)</f>
        <v/>
      </c>
      <c r="W179" s="6">
        <f>IF(COUNTIF($A$2:A179,A179)=1,1,0)</f>
        <v/>
      </c>
    </row>
    <row r="180">
      <c r="A180" s="6" t="inlineStr">
        <is>
          <t>PO-1330</t>
        </is>
      </c>
      <c r="B180" s="6" t="inlineStr">
        <is>
          <t>SUP-002</t>
        </is>
      </c>
      <c r="C180" s="6" t="inlineStr">
        <is>
          <t>GPU Servers</t>
        </is>
      </c>
      <c r="D180" s="6" t="n">
        <v>8471.5</v>
      </c>
      <c r="E180" s="26" t="n">
        <v>45951</v>
      </c>
      <c r="F180" s="6" t="n">
        <v>2</v>
      </c>
      <c r="G180" s="27" t="n">
        <v>18397.69</v>
      </c>
      <c r="H180" s="6" t="inlineStr">
        <is>
          <t>CIF</t>
        </is>
      </c>
      <c r="I180" s="6" t="inlineStr">
        <is>
          <t>Truck</t>
        </is>
      </c>
      <c r="J180" s="26" t="n">
        <v>45972</v>
      </c>
      <c r="K180" s="26" t="n">
        <v>45970</v>
      </c>
      <c r="L180" s="6" t="n">
        <v>1</v>
      </c>
      <c r="M180" s="6" t="inlineStr">
        <is>
          <t>N</t>
        </is>
      </c>
      <c r="N180" s="6" t="inlineStr">
        <is>
          <t>Delivered</t>
        </is>
      </c>
      <c r="O180" s="6">
        <f>IF(K180="",0,K180-E180)</f>
        <v/>
      </c>
      <c r="P180" s="6">
        <f>IF(N180&lt;&gt;"Delivered","",IF(K180&lt;=J180,1,0))</f>
        <v/>
      </c>
      <c r="Q180" s="6">
        <f>IFERROR(INDEX(Raw_Suppliers!$C$2:$C$4,MATCH(B180,Raw_Suppliers!$A$2:$A$4,0)),"")</f>
        <v/>
      </c>
      <c r="R180" s="6">
        <f>Q180&amp;"|"&amp;D180</f>
        <v/>
      </c>
      <c r="S180" s="28">
        <f>IFERROR(INDEX(Raw_Tariff_Ref!$H$2:$H$10,MATCH(R180,Raw_Tariff_Ref!$I$2:$I$10,0)),0)</f>
        <v/>
      </c>
      <c r="T180" s="27">
        <f>IF(G180="","",G180*F180)</f>
        <v/>
      </c>
      <c r="U180" s="27">
        <f>IF(G180="","",G180*(1+S180))</f>
        <v/>
      </c>
      <c r="V180" s="27">
        <f>IF(U180="","",U180*F180)</f>
        <v/>
      </c>
      <c r="W180" s="6">
        <f>IF(COUNTIF($A$2:A180,A180)=1,1,0)</f>
        <v/>
      </c>
    </row>
    <row r="181">
      <c r="A181" s="6" t="inlineStr">
        <is>
          <t>PO-1181</t>
        </is>
      </c>
      <c r="B181" s="6" t="inlineStr">
        <is>
          <t>SUP-002</t>
        </is>
      </c>
      <c r="C181" s="6" t="inlineStr">
        <is>
          <t>Network Switches</t>
        </is>
      </c>
      <c r="D181" s="6" t="n">
        <v>8517.620000000001</v>
      </c>
      <c r="E181" s="26" t="n">
        <v>45951</v>
      </c>
      <c r="F181" s="6" t="n">
        <v>20</v>
      </c>
      <c r="G181" s="27" t="n">
        <v>4730.47</v>
      </c>
      <c r="H181" s="6" t="inlineStr">
        <is>
          <t>FOB</t>
        </is>
      </c>
      <c r="I181" s="6" t="inlineStr">
        <is>
          <t>Truck</t>
        </is>
      </c>
      <c r="J181" s="26" t="n">
        <v>45969</v>
      </c>
      <c r="K181" s="26" t="n">
        <v>45969</v>
      </c>
      <c r="L181" s="6" t="n">
        <v>4</v>
      </c>
      <c r="M181" s="6" t="inlineStr">
        <is>
          <t>N</t>
        </is>
      </c>
      <c r="N181" s="6" t="inlineStr">
        <is>
          <t>Delivered</t>
        </is>
      </c>
      <c r="O181" s="6">
        <f>IF(K181="",0,K181-E181)</f>
        <v/>
      </c>
      <c r="P181" s="6">
        <f>IF(N181&lt;&gt;"Delivered","",IF(K181&lt;=J181,1,0))</f>
        <v/>
      </c>
      <c r="Q181" s="6">
        <f>IFERROR(INDEX(Raw_Suppliers!$C$2:$C$4,MATCH(B181,Raw_Suppliers!$A$2:$A$4,0)),"")</f>
        <v/>
      </c>
      <c r="R181" s="6">
        <f>Q181&amp;"|"&amp;D181</f>
        <v/>
      </c>
      <c r="S181" s="28">
        <f>IFERROR(INDEX(Raw_Tariff_Ref!$H$2:$H$10,MATCH(R181,Raw_Tariff_Ref!$I$2:$I$10,0)),0)</f>
        <v/>
      </c>
      <c r="T181" s="27">
        <f>IF(G181="","",G181*F181)</f>
        <v/>
      </c>
      <c r="U181" s="27">
        <f>IF(G181="","",G181*(1+S181))</f>
        <v/>
      </c>
      <c r="V181" s="27">
        <f>IF(U181="","",U181*F181)</f>
        <v/>
      </c>
      <c r="W181" s="6">
        <f>IF(COUNTIF($A$2:A181,A181)=1,1,0)</f>
        <v/>
      </c>
    </row>
    <row r="182">
      <c r="A182" s="6" t="inlineStr">
        <is>
          <t>PO-1196</t>
        </is>
      </c>
      <c r="B182" s="6" t="inlineStr">
        <is>
          <t>SUP-002</t>
        </is>
      </c>
      <c r="C182" s="6" t="inlineStr">
        <is>
          <t>Network Switches</t>
        </is>
      </c>
      <c r="D182" s="6" t="n">
        <v>8517.620000000001</v>
      </c>
      <c r="E182" s="26" t="n">
        <v>45957</v>
      </c>
      <c r="F182" s="6" t="n">
        <v>2</v>
      </c>
      <c r="G182" s="27" t="n">
        <v>3836.92</v>
      </c>
      <c r="H182" s="6" t="inlineStr">
        <is>
          <t>FOB</t>
        </is>
      </c>
      <c r="I182" s="6" t="inlineStr">
        <is>
          <t>Truck</t>
        </is>
      </c>
      <c r="J182" s="26" t="n">
        <v>45978</v>
      </c>
      <c r="K182" s="26" t="n">
        <v>45978</v>
      </c>
      <c r="L182" s="6" t="n">
        <v>1</v>
      </c>
      <c r="M182" s="6" t="inlineStr">
        <is>
          <t>N</t>
        </is>
      </c>
      <c r="N182" s="6" t="inlineStr">
        <is>
          <t>Delivered</t>
        </is>
      </c>
      <c r="O182" s="6">
        <f>IF(K182="",0,K182-E182)</f>
        <v/>
      </c>
      <c r="P182" s="6">
        <f>IF(N182&lt;&gt;"Delivered","",IF(K182&lt;=J182,1,0))</f>
        <v/>
      </c>
      <c r="Q182" s="6">
        <f>IFERROR(INDEX(Raw_Suppliers!$C$2:$C$4,MATCH(B182,Raw_Suppliers!$A$2:$A$4,0)),"")</f>
        <v/>
      </c>
      <c r="R182" s="6">
        <f>Q182&amp;"|"&amp;D182</f>
        <v/>
      </c>
      <c r="S182" s="28">
        <f>IFERROR(INDEX(Raw_Tariff_Ref!$H$2:$H$10,MATCH(R182,Raw_Tariff_Ref!$I$2:$I$10,0)),0)</f>
        <v/>
      </c>
      <c r="T182" s="27">
        <f>IF(G182="","",G182*F182)</f>
        <v/>
      </c>
      <c r="U182" s="27">
        <f>IF(G182="","",G182*(1+S182))</f>
        <v/>
      </c>
      <c r="V182" s="27">
        <f>IF(U182="","",U182*F182)</f>
        <v/>
      </c>
      <c r="W182" s="6">
        <f>IF(COUNTIF($A$2:A182,A182)=1,1,0)</f>
        <v/>
      </c>
    </row>
    <row r="183">
      <c r="A183" s="6" t="inlineStr">
        <is>
          <t>PO-1093</t>
        </is>
      </c>
      <c r="B183" s="6" t="inlineStr">
        <is>
          <t>SUP-003</t>
        </is>
      </c>
      <c r="C183" s="6" t="inlineStr">
        <is>
          <t>Network Switches</t>
        </is>
      </c>
      <c r="D183" s="6" t="n">
        <v>8517.620000000001</v>
      </c>
      <c r="E183" s="26" t="n">
        <v>45957</v>
      </c>
      <c r="F183" s="6" t="n">
        <v>4</v>
      </c>
      <c r="G183" s="27" t="n">
        <v>3247.83</v>
      </c>
      <c r="H183" s="6" t="inlineStr">
        <is>
          <t>FOB</t>
        </is>
      </c>
      <c r="I183" s="6" t="inlineStr">
        <is>
          <t>Air</t>
        </is>
      </c>
      <c r="J183" s="26" t="n">
        <v>45993</v>
      </c>
      <c r="K183" s="26" t="n">
        <v>46005</v>
      </c>
      <c r="L183" s="6" t="n">
        <v>9</v>
      </c>
      <c r="M183" s="6" t="inlineStr">
        <is>
          <t>N</t>
        </is>
      </c>
      <c r="N183" s="6" t="inlineStr">
        <is>
          <t>Delivered</t>
        </is>
      </c>
      <c r="O183" s="6">
        <f>IF(K183="",0,K183-E183)</f>
        <v/>
      </c>
      <c r="P183" s="6">
        <f>IF(N183&lt;&gt;"Delivered","",IF(K183&lt;=J183,1,0))</f>
        <v/>
      </c>
      <c r="Q183" s="6">
        <f>IFERROR(INDEX(Raw_Suppliers!$C$2:$C$4,MATCH(B183,Raw_Suppliers!$A$2:$A$4,0)),"")</f>
        <v/>
      </c>
      <c r="R183" s="6">
        <f>Q183&amp;"|"&amp;D183</f>
        <v/>
      </c>
      <c r="S183" s="28">
        <f>IFERROR(INDEX(Raw_Tariff_Ref!$H$2:$H$10,MATCH(R183,Raw_Tariff_Ref!$I$2:$I$10,0)),0)</f>
        <v/>
      </c>
      <c r="T183" s="27">
        <f>IF(G183="","",G183*F183)</f>
        <v/>
      </c>
      <c r="U183" s="27">
        <f>IF(G183="","",G183*(1+S183))</f>
        <v/>
      </c>
      <c r="V183" s="27">
        <f>IF(U183="","",U183*F183)</f>
        <v/>
      </c>
      <c r="W183" s="6">
        <f>IF(COUNTIF($A$2:A183,A183)=1,1,0)</f>
        <v/>
      </c>
    </row>
    <row r="184">
      <c r="A184" s="6" t="inlineStr">
        <is>
          <t>PO-1075</t>
        </is>
      </c>
      <c r="B184" s="6" t="inlineStr">
        <is>
          <t>SUP-001</t>
        </is>
      </c>
      <c r="C184" s="6" t="inlineStr">
        <is>
          <t>PDU / MEP Equipment</t>
        </is>
      </c>
      <c r="D184" s="6" t="n">
        <v>8537.1</v>
      </c>
      <c r="E184" s="26" t="n">
        <v>45958</v>
      </c>
      <c r="F184" s="6" t="n">
        <v>10</v>
      </c>
      <c r="G184" s="27" t="n">
        <v>3217.97</v>
      </c>
      <c r="H184" s="6" t="inlineStr">
        <is>
          <t>DDP</t>
        </is>
      </c>
      <c r="I184" s="6" t="inlineStr">
        <is>
          <t>Air</t>
        </is>
      </c>
      <c r="J184" s="26" t="n">
        <v>45965</v>
      </c>
      <c r="K184" s="26" t="n">
        <v>45964</v>
      </c>
      <c r="L184" s="6" t="n">
        <v>1</v>
      </c>
      <c r="M184" s="6" t="inlineStr">
        <is>
          <t>N</t>
        </is>
      </c>
      <c r="N184" s="6" t="inlineStr">
        <is>
          <t>Delivered</t>
        </is>
      </c>
      <c r="O184" s="6">
        <f>IF(K184="",0,K184-E184)</f>
        <v/>
      </c>
      <c r="P184" s="6">
        <f>IF(N184&lt;&gt;"Delivered","",IF(K184&lt;=J184,1,0))</f>
        <v/>
      </c>
      <c r="Q184" s="6">
        <f>IFERROR(INDEX(Raw_Suppliers!$C$2:$C$4,MATCH(B184,Raw_Suppliers!$A$2:$A$4,0)),"")</f>
        <v/>
      </c>
      <c r="R184" s="6">
        <f>Q184&amp;"|"&amp;D184</f>
        <v/>
      </c>
      <c r="S184" s="28">
        <f>IFERROR(INDEX(Raw_Tariff_Ref!$H$2:$H$10,MATCH(R184,Raw_Tariff_Ref!$I$2:$I$10,0)),0)</f>
        <v/>
      </c>
      <c r="T184" s="27">
        <f>IF(G184="","",G184*F184)</f>
        <v/>
      </c>
      <c r="U184" s="27">
        <f>IF(G184="","",G184*(1+S184))</f>
        <v/>
      </c>
      <c r="V184" s="27">
        <f>IF(U184="","",U184*F184)</f>
        <v/>
      </c>
      <c r="W184" s="6">
        <f>IF(COUNTIF($A$2:A184,A184)=1,1,0)</f>
        <v/>
      </c>
    </row>
    <row r="185">
      <c r="A185" s="6" t="inlineStr">
        <is>
          <t>PO-1005</t>
        </is>
      </c>
      <c r="B185" s="6" t="inlineStr">
        <is>
          <t>SUP-001</t>
        </is>
      </c>
      <c r="C185" s="6" t="inlineStr">
        <is>
          <t>GPU Servers</t>
        </is>
      </c>
      <c r="D185" s="6" t="n">
        <v>8471.5</v>
      </c>
      <c r="E185" s="26" t="n">
        <v>45959</v>
      </c>
      <c r="F185" s="6" t="n">
        <v>4</v>
      </c>
      <c r="G185" s="27" t="n">
        <v>24319.46</v>
      </c>
      <c r="H185" s="6" t="inlineStr">
        <is>
          <t>DDP</t>
        </is>
      </c>
      <c r="I185" s="6" t="inlineStr">
        <is>
          <t>Air</t>
        </is>
      </c>
      <c r="J185" s="26" t="n">
        <v>45973</v>
      </c>
      <c r="K185" s="26" t="n">
        <v>45981</v>
      </c>
      <c r="L185" s="6" t="n">
        <v>0</v>
      </c>
      <c r="M185" s="6" t="inlineStr">
        <is>
          <t>N</t>
        </is>
      </c>
      <c r="N185" s="6" t="inlineStr">
        <is>
          <t>Delivered</t>
        </is>
      </c>
      <c r="O185" s="6">
        <f>IF(K185="",0,K185-E185)</f>
        <v/>
      </c>
      <c r="P185" s="6">
        <f>IF(N185&lt;&gt;"Delivered","",IF(K185&lt;=J185,1,0))</f>
        <v/>
      </c>
      <c r="Q185" s="6">
        <f>IFERROR(INDEX(Raw_Suppliers!$C$2:$C$4,MATCH(B185,Raw_Suppliers!$A$2:$A$4,0)),"")</f>
        <v/>
      </c>
      <c r="R185" s="6">
        <f>Q185&amp;"|"&amp;D185</f>
        <v/>
      </c>
      <c r="S185" s="28">
        <f>IFERROR(INDEX(Raw_Tariff_Ref!$H$2:$H$10,MATCH(R185,Raw_Tariff_Ref!$I$2:$I$10,0)),0)</f>
        <v/>
      </c>
      <c r="T185" s="27">
        <f>IF(G185="","",G185*F185)</f>
        <v/>
      </c>
      <c r="U185" s="27">
        <f>IF(G185="","",G185*(1+S185))</f>
        <v/>
      </c>
      <c r="V185" s="27">
        <f>IF(U185="","",U185*F185)</f>
        <v/>
      </c>
      <c r="W185" s="6">
        <f>IF(COUNTIF($A$2:A185,A185)=1,1,0)</f>
        <v/>
      </c>
    </row>
    <row r="186">
      <c r="A186" s="6" t="inlineStr">
        <is>
          <t>PO-1193</t>
        </is>
      </c>
      <c r="B186" s="6" t="inlineStr">
        <is>
          <t>SUP-003</t>
        </is>
      </c>
      <c r="C186" s="6" t="inlineStr">
        <is>
          <t>PDU / MEP Equipment</t>
        </is>
      </c>
      <c r="D186" s="6" t="n">
        <v>8537.1</v>
      </c>
      <c r="E186" s="26" t="n">
        <v>45960</v>
      </c>
      <c r="F186" s="6" t="n">
        <v>4</v>
      </c>
      <c r="G186" s="27" t="n">
        <v>2347.54</v>
      </c>
      <c r="H186" s="6" t="inlineStr">
        <is>
          <t>FOB</t>
        </is>
      </c>
      <c r="I186" s="6" t="inlineStr">
        <is>
          <t>Air</t>
        </is>
      </c>
      <c r="J186" s="26" t="n">
        <v>46001</v>
      </c>
      <c r="K186" s="26" t="n">
        <v>46001</v>
      </c>
      <c r="L186" s="6" t="n">
        <v>10</v>
      </c>
      <c r="M186" s="6" t="inlineStr">
        <is>
          <t>N</t>
        </is>
      </c>
      <c r="N186" s="6" t="inlineStr">
        <is>
          <t>Delivered</t>
        </is>
      </c>
      <c r="O186" s="6">
        <f>IF(K186="",0,K186-E186)</f>
        <v/>
      </c>
      <c r="P186" s="6">
        <f>IF(N186&lt;&gt;"Delivered","",IF(K186&lt;=J186,1,0))</f>
        <v/>
      </c>
      <c r="Q186" s="6">
        <f>IFERROR(INDEX(Raw_Suppliers!$C$2:$C$4,MATCH(B186,Raw_Suppliers!$A$2:$A$4,0)),"")</f>
        <v/>
      </c>
      <c r="R186" s="6">
        <f>Q186&amp;"|"&amp;D186</f>
        <v/>
      </c>
      <c r="S186" s="28">
        <f>IFERROR(INDEX(Raw_Tariff_Ref!$H$2:$H$10,MATCH(R186,Raw_Tariff_Ref!$I$2:$I$10,0)),0)</f>
        <v/>
      </c>
      <c r="T186" s="27">
        <f>IF(G186="","",G186*F186)</f>
        <v/>
      </c>
      <c r="U186" s="27">
        <f>IF(G186="","",G186*(1+S186))</f>
        <v/>
      </c>
      <c r="V186" s="27">
        <f>IF(U186="","",U186*F186)</f>
        <v/>
      </c>
      <c r="W186" s="6">
        <f>IF(COUNTIF($A$2:A186,A186)=1,1,0)</f>
        <v/>
      </c>
    </row>
    <row r="187">
      <c r="A187" s="6" t="inlineStr">
        <is>
          <t>PO-1091</t>
        </is>
      </c>
      <c r="B187" s="6" t="inlineStr">
        <is>
          <t>SUP-001</t>
        </is>
      </c>
      <c r="C187" s="6" t="inlineStr">
        <is>
          <t>GPU Servers</t>
        </is>
      </c>
      <c r="D187" s="6" t="n">
        <v>8471.5</v>
      </c>
      <c r="E187" s="26" t="n">
        <v>45963</v>
      </c>
      <c r="F187" s="6" t="n">
        <v>5</v>
      </c>
      <c r="G187" s="27" t="n">
        <v>23179.25</v>
      </c>
      <c r="H187" s="6" t="inlineStr">
        <is>
          <t>DDP</t>
        </is>
      </c>
      <c r="I187" s="6" t="inlineStr">
        <is>
          <t>Truck</t>
        </is>
      </c>
      <c r="J187" s="26" t="n">
        <v>45975</v>
      </c>
      <c r="K187" s="26" t="n">
        <v>45974</v>
      </c>
      <c r="L187" s="6" t="n">
        <v>0</v>
      </c>
      <c r="M187" s="6" t="inlineStr">
        <is>
          <t>N</t>
        </is>
      </c>
      <c r="N187" s="6" t="inlineStr">
        <is>
          <t>Delivered</t>
        </is>
      </c>
      <c r="O187" s="6">
        <f>IF(K187="",0,K187-E187)</f>
        <v/>
      </c>
      <c r="P187" s="6">
        <f>IF(N187&lt;&gt;"Delivered","",IF(K187&lt;=J187,1,0))</f>
        <v/>
      </c>
      <c r="Q187" s="6">
        <f>IFERROR(INDEX(Raw_Suppliers!$C$2:$C$4,MATCH(B187,Raw_Suppliers!$A$2:$A$4,0)),"")</f>
        <v/>
      </c>
      <c r="R187" s="6">
        <f>Q187&amp;"|"&amp;D187</f>
        <v/>
      </c>
      <c r="S187" s="28">
        <f>IFERROR(INDEX(Raw_Tariff_Ref!$H$2:$H$10,MATCH(R187,Raw_Tariff_Ref!$I$2:$I$10,0)),0)</f>
        <v/>
      </c>
      <c r="T187" s="27">
        <f>IF(G187="","",G187*F187)</f>
        <v/>
      </c>
      <c r="U187" s="27">
        <f>IF(G187="","",G187*(1+S187))</f>
        <v/>
      </c>
      <c r="V187" s="27">
        <f>IF(U187="","",U187*F187)</f>
        <v/>
      </c>
      <c r="W187" s="6">
        <f>IF(COUNTIF($A$2:A187,A187)=1,1,0)</f>
        <v/>
      </c>
    </row>
    <row r="188">
      <c r="A188" s="6" t="inlineStr">
        <is>
          <t>PO-1160</t>
        </is>
      </c>
      <c r="B188" s="6" t="inlineStr">
        <is>
          <t>SUP-002</t>
        </is>
      </c>
      <c r="C188" s="6" t="inlineStr">
        <is>
          <t>Network Switches</t>
        </is>
      </c>
      <c r="D188" s="6" t="n">
        <v>8517.620000000001</v>
      </c>
      <c r="E188" s="26" t="n">
        <v>45963</v>
      </c>
      <c r="F188" s="6" t="n">
        <v>12</v>
      </c>
      <c r="G188" s="27" t="n">
        <v>4433.7</v>
      </c>
      <c r="H188" s="6" t="inlineStr">
        <is>
          <t>CIF</t>
        </is>
      </c>
      <c r="I188" s="6" t="inlineStr">
        <is>
          <t>Ocean</t>
        </is>
      </c>
      <c r="J188" s="26" t="n">
        <v>45987</v>
      </c>
      <c r="K188" s="26" t="n">
        <v>45985</v>
      </c>
      <c r="L188" s="6" t="n">
        <v>4</v>
      </c>
      <c r="M188" s="6" t="inlineStr">
        <is>
          <t>N</t>
        </is>
      </c>
      <c r="N188" s="6" t="inlineStr">
        <is>
          <t>Delivered</t>
        </is>
      </c>
      <c r="O188" s="6">
        <f>IF(K188="",0,K188-E188)</f>
        <v/>
      </c>
      <c r="P188" s="6">
        <f>IF(N188&lt;&gt;"Delivered","",IF(K188&lt;=J188,1,0))</f>
        <v/>
      </c>
      <c r="Q188" s="6">
        <f>IFERROR(INDEX(Raw_Suppliers!$C$2:$C$4,MATCH(B188,Raw_Suppliers!$A$2:$A$4,0)),"")</f>
        <v/>
      </c>
      <c r="R188" s="6">
        <f>Q188&amp;"|"&amp;D188</f>
        <v/>
      </c>
      <c r="S188" s="28">
        <f>IFERROR(INDEX(Raw_Tariff_Ref!$H$2:$H$10,MATCH(R188,Raw_Tariff_Ref!$I$2:$I$10,0)),0)</f>
        <v/>
      </c>
      <c r="T188" s="27">
        <f>IF(G188="","",G188*F188)</f>
        <v/>
      </c>
      <c r="U188" s="27">
        <f>IF(G188="","",G188*(1+S188))</f>
        <v/>
      </c>
      <c r="V188" s="27">
        <f>IF(U188="","",U188*F188)</f>
        <v/>
      </c>
      <c r="W188" s="6">
        <f>IF(COUNTIF($A$2:A188,A188)=1,1,0)</f>
        <v/>
      </c>
    </row>
    <row r="189">
      <c r="A189" s="6" t="inlineStr">
        <is>
          <t>PO-1114</t>
        </is>
      </c>
      <c r="B189" s="6" t="inlineStr">
        <is>
          <t>SUP-003</t>
        </is>
      </c>
      <c r="C189" s="6" t="inlineStr">
        <is>
          <t>GPU Servers</t>
        </is>
      </c>
      <c r="D189" s="6" t="n">
        <v>8471.5</v>
      </c>
      <c r="E189" s="26" t="n">
        <v>45964</v>
      </c>
      <c r="F189" s="6" t="n">
        <v>16</v>
      </c>
      <c r="G189" s="27" t="n">
        <v>17425.38</v>
      </c>
      <c r="H189" s="6" t="inlineStr">
        <is>
          <t>CIF</t>
        </is>
      </c>
      <c r="I189" s="6" t="inlineStr">
        <is>
          <t>ocean</t>
        </is>
      </c>
      <c r="J189" s="26" t="n">
        <v>46002</v>
      </c>
      <c r="K189" s="26" t="n">
        <v>46002</v>
      </c>
      <c r="L189" s="6" t="n">
        <v>11</v>
      </c>
      <c r="M189" s="6" t="inlineStr">
        <is>
          <t>N</t>
        </is>
      </c>
      <c r="N189" s="6" t="inlineStr">
        <is>
          <t>Delivered</t>
        </is>
      </c>
      <c r="O189" s="6">
        <f>IF(K189="",0,K189-E189)</f>
        <v/>
      </c>
      <c r="P189" s="6">
        <f>IF(N189&lt;&gt;"Delivered","",IF(K189&lt;=J189,1,0))</f>
        <v/>
      </c>
      <c r="Q189" s="6">
        <f>IFERROR(INDEX(Raw_Suppliers!$C$2:$C$4,MATCH(B189,Raw_Suppliers!$A$2:$A$4,0)),"")</f>
        <v/>
      </c>
      <c r="R189" s="6">
        <f>Q189&amp;"|"&amp;D189</f>
        <v/>
      </c>
      <c r="S189" s="28">
        <f>IFERROR(INDEX(Raw_Tariff_Ref!$H$2:$H$10,MATCH(R189,Raw_Tariff_Ref!$I$2:$I$10,0)),0)</f>
        <v/>
      </c>
      <c r="T189" s="27">
        <f>IF(G189="","",G189*F189)</f>
        <v/>
      </c>
      <c r="U189" s="27">
        <f>IF(G189="","",G189*(1+S189))</f>
        <v/>
      </c>
      <c r="V189" s="27">
        <f>IF(U189="","",U189*F189)</f>
        <v/>
      </c>
      <c r="W189" s="6">
        <f>IF(COUNTIF($A$2:A189,A189)=1,1,0)</f>
        <v/>
      </c>
    </row>
    <row r="190">
      <c r="A190" s="6" t="inlineStr">
        <is>
          <t>PO-1099</t>
        </is>
      </c>
      <c r="B190" s="6" t="inlineStr">
        <is>
          <t>SUP-001</t>
        </is>
      </c>
      <c r="C190" s="6" t="inlineStr">
        <is>
          <t>PDU / MEP Equipment</t>
        </is>
      </c>
      <c r="D190" s="6" t="n">
        <v>8537.1</v>
      </c>
      <c r="E190" s="26" t="n">
        <v>45965</v>
      </c>
      <c r="F190" s="6" t="n">
        <v>4</v>
      </c>
      <c r="G190" s="27" t="n">
        <v>3618.33</v>
      </c>
      <c r="H190" s="6" t="inlineStr">
        <is>
          <t>FOB</t>
        </is>
      </c>
      <c r="I190" s="6" t="inlineStr">
        <is>
          <t>Truck</t>
        </is>
      </c>
      <c r="J190" s="26" t="n">
        <v>45979</v>
      </c>
      <c r="K190" s="26" t="n">
        <v>45978</v>
      </c>
      <c r="L190" s="6" t="n">
        <v>0</v>
      </c>
      <c r="M190" s="6" t="inlineStr">
        <is>
          <t>N</t>
        </is>
      </c>
      <c r="N190" s="6" t="inlineStr">
        <is>
          <t>Delivered</t>
        </is>
      </c>
      <c r="O190" s="6">
        <f>IF(K190="",0,K190-E190)</f>
        <v/>
      </c>
      <c r="P190" s="6">
        <f>IF(N190&lt;&gt;"Delivered","",IF(K190&lt;=J190,1,0))</f>
        <v/>
      </c>
      <c r="Q190" s="6">
        <f>IFERROR(INDEX(Raw_Suppliers!$C$2:$C$4,MATCH(B190,Raw_Suppliers!$A$2:$A$4,0)),"")</f>
        <v/>
      </c>
      <c r="R190" s="6">
        <f>Q190&amp;"|"&amp;D190</f>
        <v/>
      </c>
      <c r="S190" s="28">
        <f>IFERROR(INDEX(Raw_Tariff_Ref!$H$2:$H$10,MATCH(R190,Raw_Tariff_Ref!$I$2:$I$10,0)),0)</f>
        <v/>
      </c>
      <c r="T190" s="27">
        <f>IF(G190="","",G190*F190)</f>
        <v/>
      </c>
      <c r="U190" s="27">
        <f>IF(G190="","",G190*(1+S190))</f>
        <v/>
      </c>
      <c r="V190" s="27">
        <f>IF(U190="","",U190*F190)</f>
        <v/>
      </c>
      <c r="W190" s="6">
        <f>IF(COUNTIF($A$2:A190,A190)=1,1,0)</f>
        <v/>
      </c>
    </row>
    <row r="191">
      <c r="A191" s="6" t="inlineStr">
        <is>
          <t>PO-1313</t>
        </is>
      </c>
      <c r="B191" s="6" t="inlineStr">
        <is>
          <t>SUP-002</t>
        </is>
      </c>
      <c r="C191" s="6" t="inlineStr">
        <is>
          <t>Network Switches</t>
        </is>
      </c>
      <c r="D191" s="6" t="n">
        <v>8517.620000000001</v>
      </c>
      <c r="E191" s="26" t="n">
        <v>45965</v>
      </c>
      <c r="F191" s="6" t="n">
        <v>20</v>
      </c>
      <c r="G191" s="27" t="n">
        <v>4110.39</v>
      </c>
      <c r="H191" s="6" t="inlineStr">
        <is>
          <t>CIF</t>
        </is>
      </c>
      <c r="I191" s="6" t="inlineStr">
        <is>
          <t>ocean</t>
        </is>
      </c>
      <c r="J191" s="26" t="n">
        <v>45976</v>
      </c>
      <c r="K191" s="26" t="n">
        <v>45976</v>
      </c>
      <c r="L191" s="6" t="n">
        <v>2</v>
      </c>
      <c r="M191" s="6" t="inlineStr">
        <is>
          <t>N</t>
        </is>
      </c>
      <c r="N191" s="6" t="inlineStr">
        <is>
          <t>Delivered</t>
        </is>
      </c>
      <c r="O191" s="6">
        <f>IF(K191="",0,K191-E191)</f>
        <v/>
      </c>
      <c r="P191" s="6">
        <f>IF(N191&lt;&gt;"Delivered","",IF(K191&lt;=J191,1,0))</f>
        <v/>
      </c>
      <c r="Q191" s="6">
        <f>IFERROR(INDEX(Raw_Suppliers!$C$2:$C$4,MATCH(B191,Raw_Suppliers!$A$2:$A$4,0)),"")</f>
        <v/>
      </c>
      <c r="R191" s="6">
        <f>Q191&amp;"|"&amp;D191</f>
        <v/>
      </c>
      <c r="S191" s="28">
        <f>IFERROR(INDEX(Raw_Tariff_Ref!$H$2:$H$10,MATCH(R191,Raw_Tariff_Ref!$I$2:$I$10,0)),0)</f>
        <v/>
      </c>
      <c r="T191" s="27">
        <f>IF(G191="","",G191*F191)</f>
        <v/>
      </c>
      <c r="U191" s="27">
        <f>IF(G191="","",G191*(1+S191))</f>
        <v/>
      </c>
      <c r="V191" s="27">
        <f>IF(U191="","",U191*F191)</f>
        <v/>
      </c>
      <c r="W191" s="6">
        <f>IF(COUNTIF($A$2:A191,A191)=1,1,0)</f>
        <v/>
      </c>
    </row>
    <row r="192">
      <c r="A192" s="6" t="inlineStr">
        <is>
          <t>PO-1176</t>
        </is>
      </c>
      <c r="B192" s="6" t="inlineStr">
        <is>
          <t>SUP-002</t>
        </is>
      </c>
      <c r="C192" s="6" t="inlineStr">
        <is>
          <t>GPU Servers</t>
        </is>
      </c>
      <c r="D192" s="6" t="n">
        <v>8471.5</v>
      </c>
      <c r="E192" s="26" t="n">
        <v>45967</v>
      </c>
      <c r="F192" s="6" t="n">
        <v>2</v>
      </c>
      <c r="G192" s="27" t="n">
        <v>20316.4</v>
      </c>
      <c r="H192" s="6" t="inlineStr">
        <is>
          <t>CIF</t>
        </is>
      </c>
      <c r="I192" s="6" t="inlineStr">
        <is>
          <t>Ocean</t>
        </is>
      </c>
      <c r="J192" s="26" t="n">
        <v>45988</v>
      </c>
      <c r="K192" s="26" t="n">
        <v>45988</v>
      </c>
      <c r="L192" s="6" t="n">
        <v>4</v>
      </c>
      <c r="M192" s="6" t="inlineStr">
        <is>
          <t>N</t>
        </is>
      </c>
      <c r="N192" s="6" t="inlineStr">
        <is>
          <t>Delivered</t>
        </is>
      </c>
      <c r="O192" s="6">
        <f>IF(K192="",0,K192-E192)</f>
        <v/>
      </c>
      <c r="P192" s="6">
        <f>IF(N192&lt;&gt;"Delivered","",IF(K192&lt;=J192,1,0))</f>
        <v/>
      </c>
      <c r="Q192" s="6">
        <f>IFERROR(INDEX(Raw_Suppliers!$C$2:$C$4,MATCH(B192,Raw_Suppliers!$A$2:$A$4,0)),"")</f>
        <v/>
      </c>
      <c r="R192" s="6">
        <f>Q192&amp;"|"&amp;D192</f>
        <v/>
      </c>
      <c r="S192" s="28">
        <f>IFERROR(INDEX(Raw_Tariff_Ref!$H$2:$H$10,MATCH(R192,Raw_Tariff_Ref!$I$2:$I$10,0)),0)</f>
        <v/>
      </c>
      <c r="T192" s="27">
        <f>IF(G192="","",G192*F192)</f>
        <v/>
      </c>
      <c r="U192" s="27">
        <f>IF(G192="","",G192*(1+S192))</f>
        <v/>
      </c>
      <c r="V192" s="27">
        <f>IF(U192="","",U192*F192)</f>
        <v/>
      </c>
      <c r="W192" s="6">
        <f>IF(COUNTIF($A$2:A192,A192)=1,1,0)</f>
        <v/>
      </c>
    </row>
    <row r="193">
      <c r="A193" s="6" t="inlineStr">
        <is>
          <t>PO-1029</t>
        </is>
      </c>
      <c r="B193" s="6" t="inlineStr">
        <is>
          <t>SUP-003</t>
        </is>
      </c>
      <c r="C193" s="6" t="inlineStr">
        <is>
          <t>GPU Servers</t>
        </is>
      </c>
      <c r="D193" s="6" t="n">
        <v>8471.5</v>
      </c>
      <c r="E193" s="26" t="n">
        <v>45969</v>
      </c>
      <c r="F193" s="6" t="n">
        <v>5</v>
      </c>
      <c r="G193" s="27" t="n">
        <v>15404.94</v>
      </c>
      <c r="H193" s="6" t="inlineStr">
        <is>
          <t>EXW</t>
        </is>
      </c>
      <c r="I193" s="6" t="inlineStr">
        <is>
          <t>Ocean</t>
        </is>
      </c>
      <c r="J193" s="26" t="n">
        <v>46012</v>
      </c>
      <c r="K193" s="26" t="n">
        <v>46020</v>
      </c>
      <c r="L193" s="6" t="n">
        <v>7</v>
      </c>
      <c r="M193" s="6" t="inlineStr">
        <is>
          <t>N</t>
        </is>
      </c>
      <c r="N193" s="6" t="inlineStr">
        <is>
          <t>Delivered</t>
        </is>
      </c>
      <c r="O193" s="6">
        <f>IF(K193="",0,K193-E193)</f>
        <v/>
      </c>
      <c r="P193" s="6">
        <f>IF(N193&lt;&gt;"Delivered","",IF(K193&lt;=J193,1,0))</f>
        <v/>
      </c>
      <c r="Q193" s="6">
        <f>IFERROR(INDEX(Raw_Suppliers!$C$2:$C$4,MATCH(B193,Raw_Suppliers!$A$2:$A$4,0)),"")</f>
        <v/>
      </c>
      <c r="R193" s="6">
        <f>Q193&amp;"|"&amp;D193</f>
        <v/>
      </c>
      <c r="S193" s="28">
        <f>IFERROR(INDEX(Raw_Tariff_Ref!$H$2:$H$10,MATCH(R193,Raw_Tariff_Ref!$I$2:$I$10,0)),0)</f>
        <v/>
      </c>
      <c r="T193" s="27">
        <f>IF(G193="","",G193*F193)</f>
        <v/>
      </c>
      <c r="U193" s="27">
        <f>IF(G193="","",G193*(1+S193))</f>
        <v/>
      </c>
      <c r="V193" s="27">
        <f>IF(U193="","",U193*F193)</f>
        <v/>
      </c>
      <c r="W193" s="6">
        <f>IF(COUNTIF($A$2:A193,A193)=1,1,0)</f>
        <v/>
      </c>
    </row>
    <row r="194">
      <c r="A194" s="6" t="inlineStr">
        <is>
          <t>PO-1040</t>
        </is>
      </c>
      <c r="B194" s="6" t="inlineStr">
        <is>
          <t>SUP-002</t>
        </is>
      </c>
      <c r="C194" s="6" t="inlineStr">
        <is>
          <t>Network Switches</t>
        </is>
      </c>
      <c r="D194" s="6" t="n">
        <v>8517.620000000001</v>
      </c>
      <c r="E194" s="26" t="n">
        <v>45970</v>
      </c>
      <c r="F194" s="6" t="n">
        <v>16</v>
      </c>
      <c r="G194" s="27" t="n">
        <v>4963.15</v>
      </c>
      <c r="H194" s="6" t="inlineStr">
        <is>
          <t>CIF</t>
        </is>
      </c>
      <c r="I194" s="6" t="inlineStr">
        <is>
          <t>Truck</t>
        </is>
      </c>
      <c r="J194" s="26" t="n">
        <v>45991</v>
      </c>
      <c r="K194" s="26" t="n">
        <v>45991</v>
      </c>
      <c r="L194" s="6" t="n">
        <v>2</v>
      </c>
      <c r="M194" s="6" t="inlineStr">
        <is>
          <t>N</t>
        </is>
      </c>
      <c r="N194" s="6" t="inlineStr">
        <is>
          <t>Delivered</t>
        </is>
      </c>
      <c r="O194" s="6">
        <f>IF(K194="",0,K194-E194)</f>
        <v/>
      </c>
      <c r="P194" s="6">
        <f>IF(N194&lt;&gt;"Delivered","",IF(K194&lt;=J194,1,0))</f>
        <v/>
      </c>
      <c r="Q194" s="6">
        <f>IFERROR(INDEX(Raw_Suppliers!$C$2:$C$4,MATCH(B194,Raw_Suppliers!$A$2:$A$4,0)),"")</f>
        <v/>
      </c>
      <c r="R194" s="6">
        <f>Q194&amp;"|"&amp;D194</f>
        <v/>
      </c>
      <c r="S194" s="28">
        <f>IFERROR(INDEX(Raw_Tariff_Ref!$H$2:$H$10,MATCH(R194,Raw_Tariff_Ref!$I$2:$I$10,0)),0)</f>
        <v/>
      </c>
      <c r="T194" s="27">
        <f>IF(G194="","",G194*F194)</f>
        <v/>
      </c>
      <c r="U194" s="27">
        <f>IF(G194="","",G194*(1+S194))</f>
        <v/>
      </c>
      <c r="V194" s="27">
        <f>IF(U194="","",U194*F194)</f>
        <v/>
      </c>
      <c r="W194" s="6">
        <f>IF(COUNTIF($A$2:A194,A194)=1,1,0)</f>
        <v/>
      </c>
    </row>
    <row r="195">
      <c r="A195" s="6" t="inlineStr">
        <is>
          <t>PO-1284</t>
        </is>
      </c>
      <c r="B195" s="6" t="inlineStr">
        <is>
          <t>SUP-003</t>
        </is>
      </c>
      <c r="C195" s="6" t="inlineStr">
        <is>
          <t>GPU Servers</t>
        </is>
      </c>
      <c r="D195" s="6" t="n">
        <v>8471.5</v>
      </c>
      <c r="E195" s="26" t="n">
        <v>45971</v>
      </c>
      <c r="F195" s="6" t="n">
        <v>25</v>
      </c>
      <c r="G195" s="27" t="n">
        <v>12896.34</v>
      </c>
      <c r="H195" s="6" t="inlineStr">
        <is>
          <t>FOB</t>
        </is>
      </c>
      <c r="I195" s="6" t="inlineStr">
        <is>
          <t>Air</t>
        </is>
      </c>
      <c r="J195" s="26" t="n">
        <v>45998</v>
      </c>
      <c r="K195" s="26" t="n">
        <v>45998</v>
      </c>
      <c r="L195" s="6" t="n">
        <v>3</v>
      </c>
      <c r="M195" s="6" t="inlineStr">
        <is>
          <t>N</t>
        </is>
      </c>
      <c r="N195" s="6" t="inlineStr">
        <is>
          <t>Delivered</t>
        </is>
      </c>
      <c r="O195" s="6">
        <f>IF(K195="",0,K195-E195)</f>
        <v/>
      </c>
      <c r="P195" s="6">
        <f>IF(N195&lt;&gt;"Delivered","",IF(K195&lt;=J195,1,0))</f>
        <v/>
      </c>
      <c r="Q195" s="6">
        <f>IFERROR(INDEX(Raw_Suppliers!$C$2:$C$4,MATCH(B195,Raw_Suppliers!$A$2:$A$4,0)),"")</f>
        <v/>
      </c>
      <c r="R195" s="6">
        <f>Q195&amp;"|"&amp;D195</f>
        <v/>
      </c>
      <c r="S195" s="28">
        <f>IFERROR(INDEX(Raw_Tariff_Ref!$H$2:$H$10,MATCH(R195,Raw_Tariff_Ref!$I$2:$I$10,0)),0)</f>
        <v/>
      </c>
      <c r="T195" s="27">
        <f>IF(G195="","",G195*F195)</f>
        <v/>
      </c>
      <c r="U195" s="27">
        <f>IF(G195="","",G195*(1+S195))</f>
        <v/>
      </c>
      <c r="V195" s="27">
        <f>IF(U195="","",U195*F195)</f>
        <v/>
      </c>
      <c r="W195" s="6">
        <f>IF(COUNTIF($A$2:A195,A195)=1,1,0)</f>
        <v/>
      </c>
    </row>
    <row r="196">
      <c r="A196" s="6" t="inlineStr">
        <is>
          <t>PO-1094</t>
        </is>
      </c>
      <c r="B196" s="6" t="inlineStr">
        <is>
          <t>SUP-003</t>
        </is>
      </c>
      <c r="C196" s="6" t="inlineStr">
        <is>
          <t>Network Switches</t>
        </is>
      </c>
      <c r="D196" s="6" t="n">
        <v>8517.620000000001</v>
      </c>
      <c r="E196" s="26" t="n">
        <v>45972</v>
      </c>
      <c r="F196" s="6" t="n">
        <v>20</v>
      </c>
      <c r="G196" s="27" t="n">
        <v>1907.59</v>
      </c>
      <c r="H196" s="6" t="inlineStr">
        <is>
          <t>FOB</t>
        </is>
      </c>
      <c r="I196" s="6" t="inlineStr">
        <is>
          <t>Air</t>
        </is>
      </c>
      <c r="J196" s="26" t="n">
        <v>46008</v>
      </c>
      <c r="K196" s="26" t="n">
        <v>46007</v>
      </c>
      <c r="L196" s="6" t="n">
        <v>12</v>
      </c>
      <c r="M196" s="6" t="inlineStr">
        <is>
          <t>N</t>
        </is>
      </c>
      <c r="N196" s="6" t="inlineStr">
        <is>
          <t>Delivered</t>
        </is>
      </c>
      <c r="O196" s="6">
        <f>IF(K196="",0,K196-E196)</f>
        <v/>
      </c>
      <c r="P196" s="6">
        <f>IF(N196&lt;&gt;"Delivered","",IF(K196&lt;=J196,1,0))</f>
        <v/>
      </c>
      <c r="Q196" s="6">
        <f>IFERROR(INDEX(Raw_Suppliers!$C$2:$C$4,MATCH(B196,Raw_Suppliers!$A$2:$A$4,0)),"")</f>
        <v/>
      </c>
      <c r="R196" s="6">
        <f>Q196&amp;"|"&amp;D196</f>
        <v/>
      </c>
      <c r="S196" s="28">
        <f>IFERROR(INDEX(Raw_Tariff_Ref!$H$2:$H$10,MATCH(R196,Raw_Tariff_Ref!$I$2:$I$10,0)),0)</f>
        <v/>
      </c>
      <c r="T196" s="27">
        <f>IF(G196="","",G196*F196)</f>
        <v/>
      </c>
      <c r="U196" s="27">
        <f>IF(G196="","",G196*(1+S196))</f>
        <v/>
      </c>
      <c r="V196" s="27">
        <f>IF(U196="","",U196*F196)</f>
        <v/>
      </c>
      <c r="W196" s="6">
        <f>IF(COUNTIF($A$2:A196,A196)=1,1,0)</f>
        <v/>
      </c>
    </row>
    <row r="197">
      <c r="A197" s="6" t="inlineStr">
        <is>
          <t>PO-1103</t>
        </is>
      </c>
      <c r="B197" s="6" t="inlineStr">
        <is>
          <t>SUP-001</t>
        </is>
      </c>
      <c r="C197" s="6" t="inlineStr">
        <is>
          <t>GPU Servers</t>
        </is>
      </c>
      <c r="D197" s="6" t="n">
        <v>8471.5</v>
      </c>
      <c r="E197" s="26" t="n">
        <v>45974</v>
      </c>
      <c r="F197" s="6" t="n">
        <v>4</v>
      </c>
      <c r="G197" s="27" t="n">
        <v>19963.94</v>
      </c>
      <c r="H197" s="6" t="inlineStr">
        <is>
          <t>FOB</t>
        </is>
      </c>
      <c r="I197" s="6" t="inlineStr">
        <is>
          <t>Air</t>
        </is>
      </c>
      <c r="J197" s="26" t="n">
        <v>45983</v>
      </c>
      <c r="K197" s="26" t="n">
        <v>45987</v>
      </c>
      <c r="L197" s="6" t="n">
        <v>1</v>
      </c>
      <c r="M197" s="6" t="inlineStr">
        <is>
          <t>N</t>
        </is>
      </c>
      <c r="N197" s="6" t="inlineStr">
        <is>
          <t>Delivered</t>
        </is>
      </c>
      <c r="O197" s="6">
        <f>IF(K197="",0,K197-E197)</f>
        <v/>
      </c>
      <c r="P197" s="6">
        <f>IF(N197&lt;&gt;"Delivered","",IF(K197&lt;=J197,1,0))</f>
        <v/>
      </c>
      <c r="Q197" s="6">
        <f>IFERROR(INDEX(Raw_Suppliers!$C$2:$C$4,MATCH(B197,Raw_Suppliers!$A$2:$A$4,0)),"")</f>
        <v/>
      </c>
      <c r="R197" s="6">
        <f>Q197&amp;"|"&amp;D197</f>
        <v/>
      </c>
      <c r="S197" s="28">
        <f>IFERROR(INDEX(Raw_Tariff_Ref!$H$2:$H$10,MATCH(R197,Raw_Tariff_Ref!$I$2:$I$10,0)),0)</f>
        <v/>
      </c>
      <c r="T197" s="27">
        <f>IF(G197="","",G197*F197)</f>
        <v/>
      </c>
      <c r="U197" s="27">
        <f>IF(G197="","",G197*(1+S197))</f>
        <v/>
      </c>
      <c r="V197" s="27">
        <f>IF(U197="","",U197*F197)</f>
        <v/>
      </c>
      <c r="W197" s="6">
        <f>IF(COUNTIF($A$2:A197,A197)=1,1,0)</f>
        <v/>
      </c>
    </row>
    <row r="198">
      <c r="A198" s="6" t="inlineStr">
        <is>
          <t>PO-1261</t>
        </is>
      </c>
      <c r="B198" s="6" t="inlineStr">
        <is>
          <t>SUP-002</t>
        </is>
      </c>
      <c r="C198" s="6" t="inlineStr">
        <is>
          <t>Network Switches</t>
        </is>
      </c>
      <c r="D198" s="6" t="n">
        <v>8517.620000000001</v>
      </c>
      <c r="E198" s="26" t="n">
        <v>45975</v>
      </c>
      <c r="F198" s="6" t="n">
        <v>5</v>
      </c>
      <c r="G198" s="27" t="n">
        <v>3604.31</v>
      </c>
      <c r="H198" s="6" t="inlineStr">
        <is>
          <t>CIF</t>
        </is>
      </c>
      <c r="I198" s="6" t="inlineStr">
        <is>
          <t>Truck</t>
        </is>
      </c>
      <c r="J198" s="26" t="n">
        <v>45992</v>
      </c>
      <c r="K198" s="26" t="n">
        <v>45991</v>
      </c>
      <c r="L198" s="6" t="n">
        <v>4</v>
      </c>
      <c r="M198" s="6" t="inlineStr">
        <is>
          <t>N</t>
        </is>
      </c>
      <c r="N198" s="6" t="inlineStr">
        <is>
          <t>Delivered</t>
        </is>
      </c>
      <c r="O198" s="6">
        <f>IF(K198="",0,K198-E198)</f>
        <v/>
      </c>
      <c r="P198" s="6">
        <f>IF(N198&lt;&gt;"Delivered","",IF(K198&lt;=J198,1,0))</f>
        <v/>
      </c>
      <c r="Q198" s="6">
        <f>IFERROR(INDEX(Raw_Suppliers!$C$2:$C$4,MATCH(B198,Raw_Suppliers!$A$2:$A$4,0)),"")</f>
        <v/>
      </c>
      <c r="R198" s="6">
        <f>Q198&amp;"|"&amp;D198</f>
        <v/>
      </c>
      <c r="S198" s="28">
        <f>IFERROR(INDEX(Raw_Tariff_Ref!$H$2:$H$10,MATCH(R198,Raw_Tariff_Ref!$I$2:$I$10,0)),0)</f>
        <v/>
      </c>
      <c r="T198" s="27">
        <f>IF(G198="","",G198*F198)</f>
        <v/>
      </c>
      <c r="U198" s="27">
        <f>IF(G198="","",G198*(1+S198))</f>
        <v/>
      </c>
      <c r="V198" s="27">
        <f>IF(U198="","",U198*F198)</f>
        <v/>
      </c>
      <c r="W198" s="6">
        <f>IF(COUNTIF($A$2:A198,A198)=1,1,0)</f>
        <v/>
      </c>
    </row>
    <row r="199">
      <c r="A199" s="6" t="inlineStr">
        <is>
          <t>PO-1177</t>
        </is>
      </c>
      <c r="B199" s="6" t="inlineStr">
        <is>
          <t>SUP-001</t>
        </is>
      </c>
      <c r="C199" s="6" t="inlineStr">
        <is>
          <t>GPU Servers</t>
        </is>
      </c>
      <c r="D199" s="6" t="n">
        <v>8471.5</v>
      </c>
      <c r="E199" s="26" t="n">
        <v>45983</v>
      </c>
      <c r="F199" s="6" t="n">
        <v>12</v>
      </c>
      <c r="G199" s="27" t="n">
        <v>23320.89</v>
      </c>
      <c r="H199" s="6" t="inlineStr">
        <is>
          <t>FOB</t>
        </is>
      </c>
      <c r="I199" s="6" t="inlineStr">
        <is>
          <t>Air</t>
        </is>
      </c>
      <c r="J199" s="26" t="n">
        <v>45995</v>
      </c>
      <c r="K199" s="26" t="n">
        <v>45994</v>
      </c>
      <c r="L199" s="6" t="n">
        <v>0</v>
      </c>
      <c r="M199" s="6" t="inlineStr">
        <is>
          <t>N</t>
        </is>
      </c>
      <c r="N199" s="6" t="inlineStr">
        <is>
          <t>Delivered</t>
        </is>
      </c>
      <c r="O199" s="6">
        <f>IF(K199="",0,K199-E199)</f>
        <v/>
      </c>
      <c r="P199" s="6">
        <f>IF(N199&lt;&gt;"Delivered","",IF(K199&lt;=J199,1,0))</f>
        <v/>
      </c>
      <c r="Q199" s="6">
        <f>IFERROR(INDEX(Raw_Suppliers!$C$2:$C$4,MATCH(B199,Raw_Suppliers!$A$2:$A$4,0)),"")</f>
        <v/>
      </c>
      <c r="R199" s="6">
        <f>Q199&amp;"|"&amp;D199</f>
        <v/>
      </c>
      <c r="S199" s="28">
        <f>IFERROR(INDEX(Raw_Tariff_Ref!$H$2:$H$10,MATCH(R199,Raw_Tariff_Ref!$I$2:$I$10,0)),0)</f>
        <v/>
      </c>
      <c r="T199" s="27">
        <f>IF(G199="","",G199*F199)</f>
        <v/>
      </c>
      <c r="U199" s="27">
        <f>IF(G199="","",G199*(1+S199))</f>
        <v/>
      </c>
      <c r="V199" s="27">
        <f>IF(U199="","",U199*F199)</f>
        <v/>
      </c>
      <c r="W199" s="6">
        <f>IF(COUNTIF($A$2:A199,A199)=1,1,0)</f>
        <v/>
      </c>
    </row>
    <row r="200">
      <c r="A200" s="6" t="inlineStr">
        <is>
          <t>PO-1189</t>
        </is>
      </c>
      <c r="B200" s="6" t="inlineStr">
        <is>
          <t>SUP-001</t>
        </is>
      </c>
      <c r="C200" s="6" t="inlineStr">
        <is>
          <t>PDU / MEP Equipment</t>
        </is>
      </c>
      <c r="D200" s="6" t="n">
        <v>8537.1</v>
      </c>
      <c r="E200" s="26" t="n">
        <v>45984</v>
      </c>
      <c r="F200" s="6" t="n">
        <v>8</v>
      </c>
      <c r="G200" s="27" t="n">
        <v>3289.53</v>
      </c>
      <c r="H200" s="6" t="inlineStr">
        <is>
          <t>DDP</t>
        </is>
      </c>
      <c r="I200" s="6" t="inlineStr">
        <is>
          <t>Truck</t>
        </is>
      </c>
      <c r="J200" s="26" t="n">
        <v>45995</v>
      </c>
      <c r="K200" s="26" t="n">
        <v>45994</v>
      </c>
      <c r="L200" s="6" t="n">
        <v>0</v>
      </c>
      <c r="M200" s="6" t="inlineStr">
        <is>
          <t>N</t>
        </is>
      </c>
      <c r="N200" s="6" t="inlineStr">
        <is>
          <t>Delivered</t>
        </is>
      </c>
      <c r="O200" s="6">
        <f>IF(K200="",0,K200-E200)</f>
        <v/>
      </c>
      <c r="P200" s="6">
        <f>IF(N200&lt;&gt;"Delivered","",IF(K200&lt;=J200,1,0))</f>
        <v/>
      </c>
      <c r="Q200" s="6">
        <f>IFERROR(INDEX(Raw_Suppliers!$C$2:$C$4,MATCH(B200,Raw_Suppliers!$A$2:$A$4,0)),"")</f>
        <v/>
      </c>
      <c r="R200" s="6">
        <f>Q200&amp;"|"&amp;D200</f>
        <v/>
      </c>
      <c r="S200" s="28">
        <f>IFERROR(INDEX(Raw_Tariff_Ref!$H$2:$H$10,MATCH(R200,Raw_Tariff_Ref!$I$2:$I$10,0)),0)</f>
        <v/>
      </c>
      <c r="T200" s="27">
        <f>IF(G200="","",G200*F200)</f>
        <v/>
      </c>
      <c r="U200" s="27">
        <f>IF(G200="","",G200*(1+S200))</f>
        <v/>
      </c>
      <c r="V200" s="27">
        <f>IF(U200="","",U200*F200)</f>
        <v/>
      </c>
      <c r="W200" s="6">
        <f>IF(COUNTIF($A$2:A200,A200)=1,1,0)</f>
        <v/>
      </c>
    </row>
    <row r="201">
      <c r="A201" s="6" t="inlineStr">
        <is>
          <t>PO-1038</t>
        </is>
      </c>
      <c r="B201" s="6" t="inlineStr">
        <is>
          <t>SUP-002</t>
        </is>
      </c>
      <c r="C201" s="6" t="inlineStr">
        <is>
          <t>GPU Servers</t>
        </is>
      </c>
      <c r="D201" s="6" t="n">
        <v>8471.5</v>
      </c>
      <c r="E201" s="26" t="n">
        <v>45984</v>
      </c>
      <c r="F201" s="6" t="n">
        <v>4</v>
      </c>
      <c r="G201" s="27" t="n">
        <v>17941.5</v>
      </c>
      <c r="H201" s="6" t="inlineStr">
        <is>
          <t>FOB</t>
        </is>
      </c>
      <c r="I201" s="6" t="inlineStr">
        <is>
          <t>Ocean</t>
        </is>
      </c>
      <c r="J201" s="26" t="n">
        <v>46000</v>
      </c>
      <c r="K201" s="26" t="n">
        <v>46000</v>
      </c>
      <c r="L201" s="6" t="n">
        <v>1</v>
      </c>
      <c r="M201" s="6" t="inlineStr">
        <is>
          <t>N</t>
        </is>
      </c>
      <c r="N201" s="6" t="inlineStr">
        <is>
          <t>Delivered</t>
        </is>
      </c>
      <c r="O201" s="6">
        <f>IF(K201="",0,K201-E201)</f>
        <v/>
      </c>
      <c r="P201" s="6">
        <f>IF(N201&lt;&gt;"Delivered","",IF(K201&lt;=J201,1,0))</f>
        <v/>
      </c>
      <c r="Q201" s="6">
        <f>IFERROR(INDEX(Raw_Suppliers!$C$2:$C$4,MATCH(B201,Raw_Suppliers!$A$2:$A$4,0)),"")</f>
        <v/>
      </c>
      <c r="R201" s="6">
        <f>Q201&amp;"|"&amp;D201</f>
        <v/>
      </c>
      <c r="S201" s="28">
        <f>IFERROR(INDEX(Raw_Tariff_Ref!$H$2:$H$10,MATCH(R201,Raw_Tariff_Ref!$I$2:$I$10,0)),0)</f>
        <v/>
      </c>
      <c r="T201" s="27">
        <f>IF(G201="","",G201*F201)</f>
        <v/>
      </c>
      <c r="U201" s="27">
        <f>IF(G201="","",G201*(1+S201))</f>
        <v/>
      </c>
      <c r="V201" s="27">
        <f>IF(U201="","",U201*F201)</f>
        <v/>
      </c>
      <c r="W201" s="6">
        <f>IF(COUNTIF($A$2:A201,A201)=1,1,0)</f>
        <v/>
      </c>
    </row>
    <row r="202">
      <c r="A202" s="6" t="inlineStr">
        <is>
          <t>PO-1192</t>
        </is>
      </c>
      <c r="B202" s="6" t="inlineStr">
        <is>
          <t>SUP-003</t>
        </is>
      </c>
      <c r="C202" s="6" t="inlineStr">
        <is>
          <t>Network Switches</t>
        </is>
      </c>
      <c r="D202" s="6" t="n">
        <v>8517.620000000001</v>
      </c>
      <c r="E202" s="26" t="n">
        <v>45987</v>
      </c>
      <c r="F202" s="6" t="n">
        <v>10</v>
      </c>
      <c r="G202" s="27" t="n">
        <v>3087.37</v>
      </c>
      <c r="H202" s="6" t="inlineStr">
        <is>
          <t>CIF</t>
        </is>
      </c>
      <c r="I202" s="6" t="inlineStr">
        <is>
          <t>Air</t>
        </is>
      </c>
      <c r="J202" s="26" t="n">
        <v>46031</v>
      </c>
      <c r="K202" s="26" t="n">
        <v>46031</v>
      </c>
      <c r="L202" s="6" t="n">
        <v>9</v>
      </c>
      <c r="M202" s="6" t="inlineStr">
        <is>
          <t>N</t>
        </is>
      </c>
      <c r="N202" s="6" t="inlineStr">
        <is>
          <t>Delivered</t>
        </is>
      </c>
      <c r="O202" s="6">
        <f>IF(K202="",0,K202-E202)</f>
        <v/>
      </c>
      <c r="P202" s="6">
        <f>IF(N202&lt;&gt;"Delivered","",IF(K202&lt;=J202,1,0))</f>
        <v/>
      </c>
      <c r="Q202" s="6">
        <f>IFERROR(INDEX(Raw_Suppliers!$C$2:$C$4,MATCH(B202,Raw_Suppliers!$A$2:$A$4,0)),"")</f>
        <v/>
      </c>
      <c r="R202" s="6">
        <f>Q202&amp;"|"&amp;D202</f>
        <v/>
      </c>
      <c r="S202" s="28">
        <f>IFERROR(INDEX(Raw_Tariff_Ref!$H$2:$H$10,MATCH(R202,Raw_Tariff_Ref!$I$2:$I$10,0)),0)</f>
        <v/>
      </c>
      <c r="T202" s="27">
        <f>IF(G202="","",G202*F202)</f>
        <v/>
      </c>
      <c r="U202" s="27">
        <f>IF(G202="","",G202*(1+S202))</f>
        <v/>
      </c>
      <c r="V202" s="27">
        <f>IF(U202="","",U202*F202)</f>
        <v/>
      </c>
      <c r="W202" s="6">
        <f>IF(COUNTIF($A$2:A202,A202)=1,1,0)</f>
        <v/>
      </c>
    </row>
    <row r="203">
      <c r="A203" s="6" t="inlineStr">
        <is>
          <t>PO-1247</t>
        </is>
      </c>
      <c r="B203" s="6" t="inlineStr">
        <is>
          <t>SUP-002</t>
        </is>
      </c>
      <c r="C203" s="6" t="inlineStr">
        <is>
          <t>GPU Servers</t>
        </is>
      </c>
      <c r="D203" s="6" t="n">
        <v>8471.5</v>
      </c>
      <c r="E203" s="26" t="n">
        <v>45989</v>
      </c>
      <c r="F203" s="6" t="n">
        <v>20</v>
      </c>
      <c r="G203" s="27" t="n">
        <v>20972.22</v>
      </c>
      <c r="H203" s="6" t="inlineStr">
        <is>
          <t>FOB</t>
        </is>
      </c>
      <c r="I203" s="6" t="inlineStr">
        <is>
          <t>Ocean</t>
        </is>
      </c>
      <c r="J203" s="26" t="n">
        <v>46007</v>
      </c>
      <c r="K203" s="26" t="n">
        <v>46007</v>
      </c>
      <c r="L203" s="6" t="n">
        <v>4</v>
      </c>
      <c r="M203" s="6" t="inlineStr">
        <is>
          <t>N</t>
        </is>
      </c>
      <c r="N203" s="6" t="inlineStr">
        <is>
          <t>Delivered</t>
        </is>
      </c>
      <c r="O203" s="6">
        <f>IF(K203="",0,K203-E203)</f>
        <v/>
      </c>
      <c r="P203" s="6">
        <f>IF(N203&lt;&gt;"Delivered","",IF(K203&lt;=J203,1,0))</f>
        <v/>
      </c>
      <c r="Q203" s="6">
        <f>IFERROR(INDEX(Raw_Suppliers!$C$2:$C$4,MATCH(B203,Raw_Suppliers!$A$2:$A$4,0)),"")</f>
        <v/>
      </c>
      <c r="R203" s="6">
        <f>Q203&amp;"|"&amp;D203</f>
        <v/>
      </c>
      <c r="S203" s="28">
        <f>IFERROR(INDEX(Raw_Tariff_Ref!$H$2:$H$10,MATCH(R203,Raw_Tariff_Ref!$I$2:$I$10,0)),0)</f>
        <v/>
      </c>
      <c r="T203" s="27">
        <f>IF(G203="","",G203*F203)</f>
        <v/>
      </c>
      <c r="U203" s="27">
        <f>IF(G203="","",G203*(1+S203))</f>
        <v/>
      </c>
      <c r="V203" s="27">
        <f>IF(U203="","",U203*F203)</f>
        <v/>
      </c>
      <c r="W203" s="6">
        <f>IF(COUNTIF($A$2:A203,A203)=1,1,0)</f>
        <v/>
      </c>
    </row>
    <row r="204">
      <c r="A204" s="6" t="inlineStr">
        <is>
          <t>PO-1338</t>
        </is>
      </c>
      <c r="B204" s="6" t="inlineStr">
        <is>
          <t>SUP-003</t>
        </is>
      </c>
      <c r="C204" s="6" t="inlineStr">
        <is>
          <t>Network Switches</t>
        </is>
      </c>
      <c r="D204" s="6" t="n">
        <v>8517.620000000001</v>
      </c>
      <c r="E204" s="26" t="n">
        <v>45990</v>
      </c>
      <c r="F204" s="6" t="n">
        <v>4</v>
      </c>
      <c r="G204" s="27" t="n">
        <v>2108.91</v>
      </c>
      <c r="H204" s="6" t="inlineStr">
        <is>
          <t>FOB</t>
        </is>
      </c>
      <c r="I204" s="6" t="inlineStr">
        <is>
          <t>air</t>
        </is>
      </c>
      <c r="J204" s="26" t="n">
        <v>46010</v>
      </c>
      <c r="K204" s="26" t="n">
        <v>46016</v>
      </c>
      <c r="L204" s="6" t="n">
        <v>7</v>
      </c>
      <c r="M204" s="6" t="inlineStr">
        <is>
          <t>N</t>
        </is>
      </c>
      <c r="N204" s="6" t="inlineStr">
        <is>
          <t>Delivered</t>
        </is>
      </c>
      <c r="O204" s="6">
        <f>IF(K204="",0,K204-E204)</f>
        <v/>
      </c>
      <c r="P204" s="6">
        <f>IF(N204&lt;&gt;"Delivered","",IF(K204&lt;=J204,1,0))</f>
        <v/>
      </c>
      <c r="Q204" s="6">
        <f>IFERROR(INDEX(Raw_Suppliers!$C$2:$C$4,MATCH(B204,Raw_Suppliers!$A$2:$A$4,0)),"")</f>
        <v/>
      </c>
      <c r="R204" s="6">
        <f>Q204&amp;"|"&amp;D204</f>
        <v/>
      </c>
      <c r="S204" s="28">
        <f>IFERROR(INDEX(Raw_Tariff_Ref!$H$2:$H$10,MATCH(R204,Raw_Tariff_Ref!$I$2:$I$10,0)),0)</f>
        <v/>
      </c>
      <c r="T204" s="27">
        <f>IF(G204="","",G204*F204)</f>
        <v/>
      </c>
      <c r="U204" s="27">
        <f>IF(G204="","",G204*(1+S204))</f>
        <v/>
      </c>
      <c r="V204" s="27">
        <f>IF(U204="","",U204*F204)</f>
        <v/>
      </c>
      <c r="W204" s="6">
        <f>IF(COUNTIF($A$2:A204,A204)=1,1,0)</f>
        <v/>
      </c>
    </row>
    <row r="205">
      <c r="A205" s="6" t="inlineStr">
        <is>
          <t>PO-1223</t>
        </is>
      </c>
      <c r="B205" s="6" t="inlineStr">
        <is>
          <t>SUP-003</t>
        </is>
      </c>
      <c r="C205" s="6" t="inlineStr">
        <is>
          <t>GPU Servers</t>
        </is>
      </c>
      <c r="D205" s="6" t="n">
        <v>8471.5</v>
      </c>
      <c r="E205" s="26" t="n">
        <v>45992</v>
      </c>
      <c r="F205" s="6" t="n">
        <v>20</v>
      </c>
      <c r="G205" s="27" t="n">
        <v>13702.98</v>
      </c>
      <c r="H205" s="6" t="inlineStr">
        <is>
          <t>FOB</t>
        </is>
      </c>
      <c r="I205" s="6" t="inlineStr">
        <is>
          <t>Air</t>
        </is>
      </c>
      <c r="J205" s="26" t="n">
        <v>46018</v>
      </c>
      <c r="K205" s="26" t="n">
        <v>46044</v>
      </c>
      <c r="L205" s="6" t="n">
        <v>7</v>
      </c>
      <c r="M205" s="6" t="inlineStr">
        <is>
          <t>N</t>
        </is>
      </c>
      <c r="N205" s="6" t="inlineStr">
        <is>
          <t>Delivered</t>
        </is>
      </c>
      <c r="O205" s="6">
        <f>IF(K205="",0,K205-E205)</f>
        <v/>
      </c>
      <c r="P205" s="6">
        <f>IF(N205&lt;&gt;"Delivered","",IF(K205&lt;=J205,1,0))</f>
        <v/>
      </c>
      <c r="Q205" s="6">
        <f>IFERROR(INDEX(Raw_Suppliers!$C$2:$C$4,MATCH(B205,Raw_Suppliers!$A$2:$A$4,0)),"")</f>
        <v/>
      </c>
      <c r="R205" s="6">
        <f>Q205&amp;"|"&amp;D205</f>
        <v/>
      </c>
      <c r="S205" s="28">
        <f>IFERROR(INDEX(Raw_Tariff_Ref!$H$2:$H$10,MATCH(R205,Raw_Tariff_Ref!$I$2:$I$10,0)),0)</f>
        <v/>
      </c>
      <c r="T205" s="27">
        <f>IF(G205="","",G205*F205)</f>
        <v/>
      </c>
      <c r="U205" s="27">
        <f>IF(G205="","",G205*(1+S205))</f>
        <v/>
      </c>
      <c r="V205" s="27">
        <f>IF(U205="","",U205*F205)</f>
        <v/>
      </c>
      <c r="W205" s="6">
        <f>IF(COUNTIF($A$2:A205,A205)=1,1,0)</f>
        <v/>
      </c>
    </row>
    <row r="206">
      <c r="A206" s="6" t="inlineStr">
        <is>
          <t>PO-1061</t>
        </is>
      </c>
      <c r="B206" s="6" t="inlineStr">
        <is>
          <t>SUP-002</t>
        </is>
      </c>
      <c r="C206" s="6" t="inlineStr">
        <is>
          <t>GPU Servers</t>
        </is>
      </c>
      <c r="D206" s="6" t="n">
        <v>8471.5</v>
      </c>
      <c r="E206" s="26" t="n">
        <v>45993</v>
      </c>
      <c r="F206" s="6" t="n">
        <v>10</v>
      </c>
      <c r="G206" s="27" t="n">
        <v>18090.64</v>
      </c>
      <c r="H206" s="6" t="inlineStr">
        <is>
          <t>FOB</t>
        </is>
      </c>
      <c r="I206" s="6" t="inlineStr">
        <is>
          <t>Ocean</t>
        </is>
      </c>
      <c r="J206" s="26" t="n">
        <v>46009</v>
      </c>
      <c r="K206" s="26" t="n">
        <v>46012</v>
      </c>
      <c r="L206" s="6" t="n">
        <v>4</v>
      </c>
      <c r="M206" s="6" t="inlineStr">
        <is>
          <t>N</t>
        </is>
      </c>
      <c r="N206" s="6" t="inlineStr">
        <is>
          <t>Delivered</t>
        </is>
      </c>
      <c r="O206" s="6">
        <f>IF(K206="",0,K206-E206)</f>
        <v/>
      </c>
      <c r="P206" s="6">
        <f>IF(N206&lt;&gt;"Delivered","",IF(K206&lt;=J206,1,0))</f>
        <v/>
      </c>
      <c r="Q206" s="6">
        <f>IFERROR(INDEX(Raw_Suppliers!$C$2:$C$4,MATCH(B206,Raw_Suppliers!$A$2:$A$4,0)),"")</f>
        <v/>
      </c>
      <c r="R206" s="6">
        <f>Q206&amp;"|"&amp;D206</f>
        <v/>
      </c>
      <c r="S206" s="28">
        <f>IFERROR(INDEX(Raw_Tariff_Ref!$H$2:$H$10,MATCH(R206,Raw_Tariff_Ref!$I$2:$I$10,0)),0)</f>
        <v/>
      </c>
      <c r="T206" s="27">
        <f>IF(G206="","",G206*F206)</f>
        <v/>
      </c>
      <c r="U206" s="27">
        <f>IF(G206="","",G206*(1+S206))</f>
        <v/>
      </c>
      <c r="V206" s="27">
        <f>IF(U206="","",U206*F206)</f>
        <v/>
      </c>
      <c r="W206" s="6">
        <f>IF(COUNTIF($A$2:A206,A206)=1,1,0)</f>
        <v/>
      </c>
    </row>
    <row r="207">
      <c r="A207" s="6" t="inlineStr">
        <is>
          <t>PO-1132</t>
        </is>
      </c>
      <c r="B207" s="6" t="inlineStr">
        <is>
          <t>SUP-002</t>
        </is>
      </c>
      <c r="C207" s="6" t="inlineStr">
        <is>
          <t>GPU Servers</t>
        </is>
      </c>
      <c r="D207" s="6" t="n">
        <v>8471.5</v>
      </c>
      <c r="E207" s="26" t="n">
        <v>45993</v>
      </c>
      <c r="F207" s="6" t="n">
        <v>12</v>
      </c>
      <c r="G207" s="27" t="n">
        <v>19438.37</v>
      </c>
      <c r="H207" s="6" t="inlineStr">
        <is>
          <t>FOB</t>
        </is>
      </c>
      <c r="I207" s="6" t="inlineStr">
        <is>
          <t>Ocean</t>
        </is>
      </c>
      <c r="J207" s="26" t="n">
        <v>46007</v>
      </c>
      <c r="K207" s="26" t="n">
        <v>46028</v>
      </c>
      <c r="L207" s="6" t="n">
        <v>4</v>
      </c>
      <c r="M207" s="6" t="inlineStr">
        <is>
          <t>N</t>
        </is>
      </c>
      <c r="N207" s="6" t="inlineStr">
        <is>
          <t>Delivered</t>
        </is>
      </c>
      <c r="O207" s="6">
        <f>IF(K207="",0,K207-E207)</f>
        <v/>
      </c>
      <c r="P207" s="6">
        <f>IF(N207&lt;&gt;"Delivered","",IF(K207&lt;=J207,1,0))</f>
        <v/>
      </c>
      <c r="Q207" s="6">
        <f>IFERROR(INDEX(Raw_Suppliers!$C$2:$C$4,MATCH(B207,Raw_Suppliers!$A$2:$A$4,0)),"")</f>
        <v/>
      </c>
      <c r="R207" s="6">
        <f>Q207&amp;"|"&amp;D207</f>
        <v/>
      </c>
      <c r="S207" s="28">
        <f>IFERROR(INDEX(Raw_Tariff_Ref!$H$2:$H$10,MATCH(R207,Raw_Tariff_Ref!$I$2:$I$10,0)),0)</f>
        <v/>
      </c>
      <c r="T207" s="27">
        <f>IF(G207="","",G207*F207)</f>
        <v/>
      </c>
      <c r="U207" s="27">
        <f>IF(G207="","",G207*(1+S207))</f>
        <v/>
      </c>
      <c r="V207" s="27">
        <f>IF(U207="","",U207*F207)</f>
        <v/>
      </c>
      <c r="W207" s="6">
        <f>IF(COUNTIF($A$2:A207,A207)=1,1,0)</f>
        <v/>
      </c>
    </row>
    <row r="208">
      <c r="A208" s="6" t="inlineStr">
        <is>
          <t>PO-1110</t>
        </is>
      </c>
      <c r="B208" s="6" t="inlineStr">
        <is>
          <t>SUP-002</t>
        </is>
      </c>
      <c r="C208" s="6" t="inlineStr">
        <is>
          <t>Network Switches</t>
        </is>
      </c>
      <c r="D208" s="6" t="n">
        <v>8517.620000000001</v>
      </c>
      <c r="E208" s="26" t="n">
        <v>45994</v>
      </c>
      <c r="F208" s="6" t="n">
        <v>2</v>
      </c>
      <c r="G208" s="27" t="n">
        <v>5074.96</v>
      </c>
      <c r="H208" s="6" t="inlineStr">
        <is>
          <t>CIF</t>
        </is>
      </c>
      <c r="I208" s="6" t="inlineStr">
        <is>
          <t>Truck</t>
        </is>
      </c>
      <c r="J208" s="26" t="n">
        <v>46007</v>
      </c>
      <c r="K208" s="26" t="n">
        <v>46006</v>
      </c>
      <c r="L208" s="6" t="n">
        <v>1</v>
      </c>
      <c r="M208" s="6" t="inlineStr">
        <is>
          <t>N</t>
        </is>
      </c>
      <c r="N208" s="6" t="inlineStr">
        <is>
          <t>Delivered</t>
        </is>
      </c>
      <c r="O208" s="6">
        <f>IF(K208="",0,K208-E208)</f>
        <v/>
      </c>
      <c r="P208" s="6">
        <f>IF(N208&lt;&gt;"Delivered","",IF(K208&lt;=J208,1,0))</f>
        <v/>
      </c>
      <c r="Q208" s="6">
        <f>IFERROR(INDEX(Raw_Suppliers!$C$2:$C$4,MATCH(B208,Raw_Suppliers!$A$2:$A$4,0)),"")</f>
        <v/>
      </c>
      <c r="R208" s="6">
        <f>Q208&amp;"|"&amp;D208</f>
        <v/>
      </c>
      <c r="S208" s="28">
        <f>IFERROR(INDEX(Raw_Tariff_Ref!$H$2:$H$10,MATCH(R208,Raw_Tariff_Ref!$I$2:$I$10,0)),0)</f>
        <v/>
      </c>
      <c r="T208" s="27">
        <f>IF(G208="","",G208*F208)</f>
        <v/>
      </c>
      <c r="U208" s="27">
        <f>IF(G208="","",G208*(1+S208))</f>
        <v/>
      </c>
      <c r="V208" s="27">
        <f>IF(U208="","",U208*F208)</f>
        <v/>
      </c>
      <c r="W208" s="6">
        <f>IF(COUNTIF($A$2:A208,A208)=1,1,0)</f>
        <v/>
      </c>
    </row>
    <row r="209">
      <c r="A209" s="6" t="inlineStr">
        <is>
          <t>PO-1062</t>
        </is>
      </c>
      <c r="B209" s="6" t="inlineStr">
        <is>
          <t>SUP-002</t>
        </is>
      </c>
      <c r="C209" s="6" t="inlineStr">
        <is>
          <t>GPU Servers</t>
        </is>
      </c>
      <c r="D209" s="6" t="n">
        <v>8471.5</v>
      </c>
      <c r="E209" s="26" t="n">
        <v>45995</v>
      </c>
      <c r="F209" s="6" t="n">
        <v>12</v>
      </c>
      <c r="G209" s="27" t="n">
        <v>19105.23</v>
      </c>
      <c r="H209" s="6" t="inlineStr">
        <is>
          <t>CIF</t>
        </is>
      </c>
      <c r="I209" s="6" t="inlineStr">
        <is>
          <t>Ocean</t>
        </is>
      </c>
      <c r="J209" s="26" t="n">
        <v>46012</v>
      </c>
      <c r="K209" s="26" t="n">
        <v>46010</v>
      </c>
      <c r="L209" s="6" t="n">
        <v>3</v>
      </c>
      <c r="M209" s="6" t="inlineStr">
        <is>
          <t>N</t>
        </is>
      </c>
      <c r="N209" s="6" t="inlineStr">
        <is>
          <t>Delivered</t>
        </is>
      </c>
      <c r="O209" s="6">
        <f>IF(K209="",0,K209-E209)</f>
        <v/>
      </c>
      <c r="P209" s="6">
        <f>IF(N209&lt;&gt;"Delivered","",IF(K209&lt;=J209,1,0))</f>
        <v/>
      </c>
      <c r="Q209" s="6">
        <f>IFERROR(INDEX(Raw_Suppliers!$C$2:$C$4,MATCH(B209,Raw_Suppliers!$A$2:$A$4,0)),"")</f>
        <v/>
      </c>
      <c r="R209" s="6">
        <f>Q209&amp;"|"&amp;D209</f>
        <v/>
      </c>
      <c r="S209" s="28">
        <f>IFERROR(INDEX(Raw_Tariff_Ref!$H$2:$H$10,MATCH(R209,Raw_Tariff_Ref!$I$2:$I$10,0)),0)</f>
        <v/>
      </c>
      <c r="T209" s="27">
        <f>IF(G209="","",G209*F209)</f>
        <v/>
      </c>
      <c r="U209" s="27">
        <f>IF(G209="","",G209*(1+S209))</f>
        <v/>
      </c>
      <c r="V209" s="27">
        <f>IF(U209="","",U209*F209)</f>
        <v/>
      </c>
      <c r="W209" s="6">
        <f>IF(COUNTIF($A$2:A209,A209)=1,1,0)</f>
        <v/>
      </c>
    </row>
    <row r="210">
      <c r="A210" s="6" t="inlineStr">
        <is>
          <t>PO-1238</t>
        </is>
      </c>
      <c r="B210" s="6" t="inlineStr">
        <is>
          <t>SUP-002</t>
        </is>
      </c>
      <c r="C210" s="6" t="inlineStr">
        <is>
          <t>GPU Servers</t>
        </is>
      </c>
      <c r="D210" s="6" t="n">
        <v>8471.5</v>
      </c>
      <c r="E210" s="26" t="n">
        <v>45997</v>
      </c>
      <c r="F210" s="6" t="n">
        <v>20</v>
      </c>
      <c r="G210" s="27" t="n">
        <v>20506.33</v>
      </c>
      <c r="H210" s="6" t="inlineStr">
        <is>
          <t>CIF</t>
        </is>
      </c>
      <c r="I210" s="6" t="inlineStr">
        <is>
          <t>Ocean</t>
        </is>
      </c>
      <c r="J210" s="26" t="n">
        <v>46015</v>
      </c>
      <c r="K210" s="26" t="n">
        <v>46014</v>
      </c>
      <c r="L210" s="6" t="n">
        <v>4</v>
      </c>
      <c r="M210" s="6" t="inlineStr">
        <is>
          <t>N</t>
        </is>
      </c>
      <c r="N210" s="6" t="inlineStr">
        <is>
          <t>Delivered</t>
        </is>
      </c>
      <c r="O210" s="6">
        <f>IF(K210="",0,K210-E210)</f>
        <v/>
      </c>
      <c r="P210" s="6">
        <f>IF(N210&lt;&gt;"Delivered","",IF(K210&lt;=J210,1,0))</f>
        <v/>
      </c>
      <c r="Q210" s="6">
        <f>IFERROR(INDEX(Raw_Suppliers!$C$2:$C$4,MATCH(B210,Raw_Suppliers!$A$2:$A$4,0)),"")</f>
        <v/>
      </c>
      <c r="R210" s="6">
        <f>Q210&amp;"|"&amp;D210</f>
        <v/>
      </c>
      <c r="S210" s="28">
        <f>IFERROR(INDEX(Raw_Tariff_Ref!$H$2:$H$10,MATCH(R210,Raw_Tariff_Ref!$I$2:$I$10,0)),0)</f>
        <v/>
      </c>
      <c r="T210" s="27">
        <f>IF(G210="","",G210*F210)</f>
        <v/>
      </c>
      <c r="U210" s="27">
        <f>IF(G210="","",G210*(1+S210))</f>
        <v/>
      </c>
      <c r="V210" s="27">
        <f>IF(U210="","",U210*F210)</f>
        <v/>
      </c>
      <c r="W210" s="6">
        <f>IF(COUNTIF($A$2:A210,A210)=1,1,0)</f>
        <v/>
      </c>
    </row>
    <row r="211">
      <c r="A211" s="6" t="inlineStr">
        <is>
          <t>PO-1179</t>
        </is>
      </c>
      <c r="B211" s="6" t="inlineStr">
        <is>
          <t>SUP-001</t>
        </is>
      </c>
      <c r="C211" s="6" t="inlineStr">
        <is>
          <t>GPU Servers</t>
        </is>
      </c>
      <c r="D211" s="6" t="n">
        <v>8471.5</v>
      </c>
      <c r="E211" s="26" t="n">
        <v>45998</v>
      </c>
      <c r="F211" s="6" t="n">
        <v>8</v>
      </c>
      <c r="G211" s="27" t="n">
        <v>23341.01</v>
      </c>
      <c r="H211" s="6" t="inlineStr">
        <is>
          <t>DDP</t>
        </is>
      </c>
      <c r="I211" s="6" t="inlineStr">
        <is>
          <t>Air</t>
        </is>
      </c>
      <c r="J211" s="26" t="n">
        <v>46008</v>
      </c>
      <c r="K211" s="26" t="n">
        <v>46019</v>
      </c>
      <c r="L211" s="6" t="n">
        <v>1</v>
      </c>
      <c r="M211" s="6" t="inlineStr">
        <is>
          <t>N</t>
        </is>
      </c>
      <c r="N211" s="6" t="inlineStr">
        <is>
          <t>Delivered</t>
        </is>
      </c>
      <c r="O211" s="6">
        <f>IF(K211="",0,K211-E211)</f>
        <v/>
      </c>
      <c r="P211" s="6">
        <f>IF(N211&lt;&gt;"Delivered","",IF(K211&lt;=J211,1,0))</f>
        <v/>
      </c>
      <c r="Q211" s="6">
        <f>IFERROR(INDEX(Raw_Suppliers!$C$2:$C$4,MATCH(B211,Raw_Suppliers!$A$2:$A$4,0)),"")</f>
        <v/>
      </c>
      <c r="R211" s="6">
        <f>Q211&amp;"|"&amp;D211</f>
        <v/>
      </c>
      <c r="S211" s="28">
        <f>IFERROR(INDEX(Raw_Tariff_Ref!$H$2:$H$10,MATCH(R211,Raw_Tariff_Ref!$I$2:$I$10,0)),0)</f>
        <v/>
      </c>
      <c r="T211" s="27">
        <f>IF(G211="","",G211*F211)</f>
        <v/>
      </c>
      <c r="U211" s="27">
        <f>IF(G211="","",G211*(1+S211))</f>
        <v/>
      </c>
      <c r="V211" s="27">
        <f>IF(U211="","",U211*F211)</f>
        <v/>
      </c>
      <c r="W211" s="6">
        <f>IF(COUNTIF($A$2:A211,A211)=1,1,0)</f>
        <v/>
      </c>
    </row>
    <row r="212">
      <c r="A212" s="6" t="inlineStr">
        <is>
          <t>PO-1201</t>
        </is>
      </c>
      <c r="B212" s="6" t="inlineStr">
        <is>
          <t>SUP-003</t>
        </is>
      </c>
      <c r="C212" s="6" t="inlineStr">
        <is>
          <t>GPU Servers</t>
        </is>
      </c>
      <c r="D212" s="6" t="n">
        <v>8471.5</v>
      </c>
      <c r="E212" s="26" t="n">
        <v>45998</v>
      </c>
      <c r="F212" s="6" t="n">
        <v>4</v>
      </c>
      <c r="G212" s="27" t="n">
        <v>16744.93</v>
      </c>
      <c r="H212" s="6" t="inlineStr">
        <is>
          <t>EXW</t>
        </is>
      </c>
      <c r="I212" s="6" t="inlineStr">
        <is>
          <t>Air</t>
        </is>
      </c>
      <c r="J212" s="26" t="n">
        <v>46027</v>
      </c>
      <c r="K212" s="26" t="n">
        <v>46027</v>
      </c>
      <c r="L212" s="6" t="n">
        <v>8</v>
      </c>
      <c r="M212" s="6" t="inlineStr">
        <is>
          <t>N</t>
        </is>
      </c>
      <c r="N212" s="6" t="inlineStr">
        <is>
          <t>Delivered</t>
        </is>
      </c>
      <c r="O212" s="6">
        <f>IF(K212="",0,K212-E212)</f>
        <v/>
      </c>
      <c r="P212" s="6">
        <f>IF(N212&lt;&gt;"Delivered","",IF(K212&lt;=J212,1,0))</f>
        <v/>
      </c>
      <c r="Q212" s="6">
        <f>IFERROR(INDEX(Raw_Suppliers!$C$2:$C$4,MATCH(B212,Raw_Suppliers!$A$2:$A$4,0)),"")</f>
        <v/>
      </c>
      <c r="R212" s="6">
        <f>Q212&amp;"|"&amp;D212</f>
        <v/>
      </c>
      <c r="S212" s="28">
        <f>IFERROR(INDEX(Raw_Tariff_Ref!$H$2:$H$10,MATCH(R212,Raw_Tariff_Ref!$I$2:$I$10,0)),0)</f>
        <v/>
      </c>
      <c r="T212" s="27">
        <f>IF(G212="","",G212*F212)</f>
        <v/>
      </c>
      <c r="U212" s="27">
        <f>IF(G212="","",G212*(1+S212))</f>
        <v/>
      </c>
      <c r="V212" s="27">
        <f>IF(U212="","",U212*F212)</f>
        <v/>
      </c>
      <c r="W212" s="6">
        <f>IF(COUNTIF($A$2:A212,A212)=1,1,0)</f>
        <v/>
      </c>
    </row>
    <row r="213">
      <c r="A213" s="6" t="inlineStr">
        <is>
          <t>PO-1246</t>
        </is>
      </c>
      <c r="B213" s="6" t="inlineStr">
        <is>
          <t>SUP-002</t>
        </is>
      </c>
      <c r="C213" s="6" t="inlineStr">
        <is>
          <t>GPU Servers</t>
        </is>
      </c>
      <c r="D213" s="6" t="n">
        <v>8471.5</v>
      </c>
      <c r="E213" s="26" t="n">
        <v>46000</v>
      </c>
      <c r="F213" s="6" t="n">
        <v>40</v>
      </c>
      <c r="G213" s="27" t="n">
        <v>19112.92</v>
      </c>
      <c r="H213" s="6" t="inlineStr">
        <is>
          <t>CIF</t>
        </is>
      </c>
      <c r="I213" s="6" t="inlineStr">
        <is>
          <t>Truck</t>
        </is>
      </c>
      <c r="J213" s="26" t="n">
        <v>46024</v>
      </c>
      <c r="K213" s="26" t="n">
        <v>46023</v>
      </c>
      <c r="L213" s="6" t="n">
        <v>4</v>
      </c>
      <c r="M213" s="6" t="inlineStr">
        <is>
          <t>N</t>
        </is>
      </c>
      <c r="N213" s="6" t="inlineStr">
        <is>
          <t>Delivered</t>
        </is>
      </c>
      <c r="O213" s="6">
        <f>IF(K213="",0,K213-E213)</f>
        <v/>
      </c>
      <c r="P213" s="6">
        <f>IF(N213&lt;&gt;"Delivered","",IF(K213&lt;=J213,1,0))</f>
        <v/>
      </c>
      <c r="Q213" s="6">
        <f>IFERROR(INDEX(Raw_Suppliers!$C$2:$C$4,MATCH(B213,Raw_Suppliers!$A$2:$A$4,0)),"")</f>
        <v/>
      </c>
      <c r="R213" s="6">
        <f>Q213&amp;"|"&amp;D213</f>
        <v/>
      </c>
      <c r="S213" s="28">
        <f>IFERROR(INDEX(Raw_Tariff_Ref!$H$2:$H$10,MATCH(R213,Raw_Tariff_Ref!$I$2:$I$10,0)),0)</f>
        <v/>
      </c>
      <c r="T213" s="27">
        <f>IF(G213="","",G213*F213)</f>
        <v/>
      </c>
      <c r="U213" s="27">
        <f>IF(G213="","",G213*(1+S213))</f>
        <v/>
      </c>
      <c r="V213" s="27">
        <f>IF(U213="","",U213*F213)</f>
        <v/>
      </c>
      <c r="W213" s="6">
        <f>IF(COUNTIF($A$2:A213,A213)=1,1,0)</f>
        <v/>
      </c>
    </row>
    <row r="214">
      <c r="A214" s="6" t="inlineStr">
        <is>
          <t>PO-1195</t>
        </is>
      </c>
      <c r="B214" s="6" t="inlineStr">
        <is>
          <t>SUP-001</t>
        </is>
      </c>
      <c r="C214" s="6" t="inlineStr">
        <is>
          <t>PDU / MEP Equipment</t>
        </is>
      </c>
      <c r="D214" s="6" t="n">
        <v>8537.1</v>
      </c>
      <c r="E214" s="26" t="n">
        <v>46001</v>
      </c>
      <c r="F214" s="6" t="n">
        <v>5</v>
      </c>
      <c r="G214" s="27" t="n">
        <v>3244.1</v>
      </c>
      <c r="H214" s="6" t="inlineStr">
        <is>
          <t>FOB</t>
        </is>
      </c>
      <c r="I214" s="6" t="inlineStr">
        <is>
          <t>Air</t>
        </is>
      </c>
      <c r="J214" s="26" t="n">
        <v>46010</v>
      </c>
      <c r="K214" s="26" t="n">
        <v>46008</v>
      </c>
      <c r="L214" s="6" t="n">
        <v>1</v>
      </c>
      <c r="M214" s="6" t="inlineStr">
        <is>
          <t>Y</t>
        </is>
      </c>
      <c r="N214" s="6" t="inlineStr">
        <is>
          <t>Delivered</t>
        </is>
      </c>
      <c r="O214" s="6">
        <f>IF(K214="",0,K214-E214)</f>
        <v/>
      </c>
      <c r="P214" s="6">
        <f>IF(N214&lt;&gt;"Delivered","",IF(K214&lt;=J214,1,0))</f>
        <v/>
      </c>
      <c r="Q214" s="6">
        <f>IFERROR(INDEX(Raw_Suppliers!$C$2:$C$4,MATCH(B214,Raw_Suppliers!$A$2:$A$4,0)),"")</f>
        <v/>
      </c>
      <c r="R214" s="6">
        <f>Q214&amp;"|"&amp;D214</f>
        <v/>
      </c>
      <c r="S214" s="28">
        <f>IFERROR(INDEX(Raw_Tariff_Ref!$H$2:$H$10,MATCH(R214,Raw_Tariff_Ref!$I$2:$I$10,0)),0)</f>
        <v/>
      </c>
      <c r="T214" s="27">
        <f>IF(G214="","",G214*F214)</f>
        <v/>
      </c>
      <c r="U214" s="27">
        <f>IF(G214="","",G214*(1+S214))</f>
        <v/>
      </c>
      <c r="V214" s="27">
        <f>IF(U214="","",U214*F214)</f>
        <v/>
      </c>
      <c r="W214" s="6">
        <f>IF(COUNTIF($A$2:A214,A214)=1,1,0)</f>
        <v/>
      </c>
    </row>
    <row r="215">
      <c r="A215" s="6" t="inlineStr">
        <is>
          <t>PO-1037</t>
        </is>
      </c>
      <c r="B215" s="6" t="inlineStr">
        <is>
          <t>SUP-003</t>
        </is>
      </c>
      <c r="C215" s="6" t="inlineStr">
        <is>
          <t>Network Switches</t>
        </is>
      </c>
      <c r="D215" s="6" t="n">
        <v>8517.620000000001</v>
      </c>
      <c r="E215" s="26" t="n">
        <v>46002</v>
      </c>
      <c r="F215" s="6" t="n">
        <v>10</v>
      </c>
      <c r="G215" s="27" t="n">
        <v>2834.95</v>
      </c>
      <c r="H215" s="6" t="inlineStr">
        <is>
          <t>FOB</t>
        </is>
      </c>
      <c r="I215" s="6" t="inlineStr">
        <is>
          <t>Ocean</t>
        </is>
      </c>
      <c r="J215" s="26" t="n">
        <v>46033</v>
      </c>
      <c r="K215" s="26" t="n">
        <v>46042</v>
      </c>
      <c r="L215" s="6" t="n">
        <v>4</v>
      </c>
      <c r="M215" s="6" t="inlineStr">
        <is>
          <t>N</t>
        </is>
      </c>
      <c r="N215" s="6" t="inlineStr">
        <is>
          <t>Delivered</t>
        </is>
      </c>
      <c r="O215" s="6">
        <f>IF(K215="",0,K215-E215)</f>
        <v/>
      </c>
      <c r="P215" s="6">
        <f>IF(N215&lt;&gt;"Delivered","",IF(K215&lt;=J215,1,0))</f>
        <v/>
      </c>
      <c r="Q215" s="6">
        <f>IFERROR(INDEX(Raw_Suppliers!$C$2:$C$4,MATCH(B215,Raw_Suppliers!$A$2:$A$4,0)),"")</f>
        <v/>
      </c>
      <c r="R215" s="6">
        <f>Q215&amp;"|"&amp;D215</f>
        <v/>
      </c>
      <c r="S215" s="28">
        <f>IFERROR(INDEX(Raw_Tariff_Ref!$H$2:$H$10,MATCH(R215,Raw_Tariff_Ref!$I$2:$I$10,0)),0)</f>
        <v/>
      </c>
      <c r="T215" s="27">
        <f>IF(G215="","",G215*F215)</f>
        <v/>
      </c>
      <c r="U215" s="27">
        <f>IF(G215="","",G215*(1+S215))</f>
        <v/>
      </c>
      <c r="V215" s="27">
        <f>IF(U215="","",U215*F215)</f>
        <v/>
      </c>
      <c r="W215" s="6">
        <f>IF(COUNTIF($A$2:A215,A215)=1,1,0)</f>
        <v/>
      </c>
    </row>
    <row r="216">
      <c r="A216" s="6" t="inlineStr">
        <is>
          <t>PO-1234</t>
        </is>
      </c>
      <c r="B216" s="6" t="inlineStr">
        <is>
          <t>SUP-001</t>
        </is>
      </c>
      <c r="C216" s="6" t="inlineStr">
        <is>
          <t>PDU / MEP Equipment</t>
        </is>
      </c>
      <c r="D216" s="6" t="n">
        <v>8537.1</v>
      </c>
      <c r="E216" s="26" t="n">
        <v>46002</v>
      </c>
      <c r="F216" s="6" t="n">
        <v>25</v>
      </c>
      <c r="G216" s="27" t="n">
        <v>4042.84</v>
      </c>
      <c r="H216" s="6" t="inlineStr">
        <is>
          <t>FOB</t>
        </is>
      </c>
      <c r="I216" s="6" t="inlineStr">
        <is>
          <t>Truck</t>
        </is>
      </c>
      <c r="J216" s="26" t="n">
        <v>46008</v>
      </c>
      <c r="K216" s="26" t="n">
        <v>46006</v>
      </c>
      <c r="L216" s="6" t="n">
        <v>1</v>
      </c>
      <c r="M216" s="6" t="inlineStr">
        <is>
          <t>N</t>
        </is>
      </c>
      <c r="N216" s="6" t="inlineStr">
        <is>
          <t>Delivered</t>
        </is>
      </c>
      <c r="O216" s="6">
        <f>IF(K216="",0,K216-E216)</f>
        <v/>
      </c>
      <c r="P216" s="6">
        <f>IF(N216&lt;&gt;"Delivered","",IF(K216&lt;=J216,1,0))</f>
        <v/>
      </c>
      <c r="Q216" s="6">
        <f>IFERROR(INDEX(Raw_Suppliers!$C$2:$C$4,MATCH(B216,Raw_Suppliers!$A$2:$A$4,0)),"")</f>
        <v/>
      </c>
      <c r="R216" s="6">
        <f>Q216&amp;"|"&amp;D216</f>
        <v/>
      </c>
      <c r="S216" s="28">
        <f>IFERROR(INDEX(Raw_Tariff_Ref!$H$2:$H$10,MATCH(R216,Raw_Tariff_Ref!$I$2:$I$10,0)),0)</f>
        <v/>
      </c>
      <c r="T216" s="27">
        <f>IF(G216="","",G216*F216)</f>
        <v/>
      </c>
      <c r="U216" s="27">
        <f>IF(G216="","",G216*(1+S216))</f>
        <v/>
      </c>
      <c r="V216" s="27">
        <f>IF(U216="","",U216*F216)</f>
        <v/>
      </c>
      <c r="W216" s="6">
        <f>IF(COUNTIF($A$2:A216,A216)=1,1,0)</f>
        <v/>
      </c>
    </row>
    <row r="217">
      <c r="A217" s="6" t="inlineStr">
        <is>
          <t>PO-1158</t>
        </is>
      </c>
      <c r="B217" s="6" t="inlineStr">
        <is>
          <t>SUP-003</t>
        </is>
      </c>
      <c r="C217" s="6" t="inlineStr">
        <is>
          <t>PDU / MEP Equipment</t>
        </is>
      </c>
      <c r="D217" s="6" t="n">
        <v>8537.1</v>
      </c>
      <c r="E217" s="26" t="n">
        <v>46002</v>
      </c>
      <c r="F217" s="6" t="n">
        <v>16</v>
      </c>
      <c r="G217" s="27" t="n">
        <v>1607.84</v>
      </c>
      <c r="H217" s="6" t="inlineStr">
        <is>
          <t>CIF</t>
        </is>
      </c>
      <c r="I217" s="6" t="inlineStr">
        <is>
          <t>Air</t>
        </is>
      </c>
      <c r="J217" s="26" t="n">
        <v>46006</v>
      </c>
      <c r="K217" s="26" t="n">
        <v>46005</v>
      </c>
      <c r="L217" s="6" t="n">
        <v>9</v>
      </c>
      <c r="M217" s="6" t="inlineStr">
        <is>
          <t>N</t>
        </is>
      </c>
      <c r="N217" s="6" t="inlineStr">
        <is>
          <t>Delivered</t>
        </is>
      </c>
      <c r="O217" s="6">
        <f>IF(K217="",0,K217-E217)</f>
        <v/>
      </c>
      <c r="P217" s="6">
        <f>IF(N217&lt;&gt;"Delivered","",IF(K217&lt;=J217,1,0))</f>
        <v/>
      </c>
      <c r="Q217" s="6">
        <f>IFERROR(INDEX(Raw_Suppliers!$C$2:$C$4,MATCH(B217,Raw_Suppliers!$A$2:$A$4,0)),"")</f>
        <v/>
      </c>
      <c r="R217" s="6">
        <f>Q217&amp;"|"&amp;D217</f>
        <v/>
      </c>
      <c r="S217" s="28">
        <f>IFERROR(INDEX(Raw_Tariff_Ref!$H$2:$H$10,MATCH(R217,Raw_Tariff_Ref!$I$2:$I$10,0)),0)</f>
        <v/>
      </c>
      <c r="T217" s="27">
        <f>IF(G217="","",G217*F217)</f>
        <v/>
      </c>
      <c r="U217" s="27">
        <f>IF(G217="","",G217*(1+S217))</f>
        <v/>
      </c>
      <c r="V217" s="27">
        <f>IF(U217="","",U217*F217)</f>
        <v/>
      </c>
      <c r="W217" s="6">
        <f>IF(COUNTIF($A$2:A217,A217)=1,1,0)</f>
        <v/>
      </c>
    </row>
    <row r="218">
      <c r="A218" s="6" t="inlineStr">
        <is>
          <t>PO-1078</t>
        </is>
      </c>
      <c r="B218" s="6" t="inlineStr">
        <is>
          <t>SUP-002</t>
        </is>
      </c>
      <c r="C218" s="6" t="inlineStr">
        <is>
          <t>GPU Servers</t>
        </is>
      </c>
      <c r="D218" s="6" t="n">
        <v>8471.5</v>
      </c>
      <c r="E218" s="26" t="n">
        <v>46004</v>
      </c>
      <c r="F218" s="6" t="n">
        <v>5</v>
      </c>
      <c r="G218" s="27" t="n">
        <v>19812.97</v>
      </c>
      <c r="H218" s="6" t="inlineStr">
        <is>
          <t>CIF</t>
        </is>
      </c>
      <c r="I218" s="6" t="inlineStr">
        <is>
          <t>Ocean</t>
        </is>
      </c>
      <c r="J218" s="26" t="n">
        <v>46015</v>
      </c>
      <c r="K218" s="26" t="n">
        <v>46013</v>
      </c>
      <c r="L218" s="6" t="n">
        <v>4</v>
      </c>
      <c r="M218" s="6" t="inlineStr">
        <is>
          <t>N</t>
        </is>
      </c>
      <c r="N218" s="6" t="inlineStr">
        <is>
          <t>Delivered</t>
        </is>
      </c>
      <c r="O218" s="6">
        <f>IF(K218="",0,K218-E218)</f>
        <v/>
      </c>
      <c r="P218" s="6">
        <f>IF(N218&lt;&gt;"Delivered","",IF(K218&lt;=J218,1,0))</f>
        <v/>
      </c>
      <c r="Q218" s="6">
        <f>IFERROR(INDEX(Raw_Suppliers!$C$2:$C$4,MATCH(B218,Raw_Suppliers!$A$2:$A$4,0)),"")</f>
        <v/>
      </c>
      <c r="R218" s="6">
        <f>Q218&amp;"|"&amp;D218</f>
        <v/>
      </c>
      <c r="S218" s="28">
        <f>IFERROR(INDEX(Raw_Tariff_Ref!$H$2:$H$10,MATCH(R218,Raw_Tariff_Ref!$I$2:$I$10,0)),0)</f>
        <v/>
      </c>
      <c r="T218" s="27">
        <f>IF(G218="","",G218*F218)</f>
        <v/>
      </c>
      <c r="U218" s="27">
        <f>IF(G218="","",G218*(1+S218))</f>
        <v/>
      </c>
      <c r="V218" s="27">
        <f>IF(U218="","",U218*F218)</f>
        <v/>
      </c>
      <c r="W218" s="6">
        <f>IF(COUNTIF($A$2:A218,A218)=1,1,0)</f>
        <v/>
      </c>
    </row>
    <row r="219">
      <c r="A219" s="6" t="inlineStr">
        <is>
          <t>PO-1300</t>
        </is>
      </c>
      <c r="B219" s="6" t="inlineStr">
        <is>
          <t>SUP-002</t>
        </is>
      </c>
      <c r="C219" s="6" t="inlineStr">
        <is>
          <t>Network Switches</t>
        </is>
      </c>
      <c r="D219" s="6" t="n">
        <v>8517.620000000001</v>
      </c>
      <c r="E219" s="26" t="n">
        <v>46006</v>
      </c>
      <c r="F219" s="6" t="n">
        <v>16</v>
      </c>
      <c r="G219" s="27" t="n">
        <v>3961.83</v>
      </c>
      <c r="H219" s="6" t="inlineStr">
        <is>
          <t>CIF</t>
        </is>
      </c>
      <c r="I219" s="6" t="inlineStr">
        <is>
          <t>Truck</t>
        </is>
      </c>
      <c r="J219" s="26" t="n">
        <v>46024</v>
      </c>
      <c r="K219" s="26" t="n">
        <v>46024</v>
      </c>
      <c r="L219" s="6" t="n">
        <v>2</v>
      </c>
      <c r="M219" s="6" t="inlineStr">
        <is>
          <t>N</t>
        </is>
      </c>
      <c r="N219" s="6" t="inlineStr">
        <is>
          <t>Delivered</t>
        </is>
      </c>
      <c r="O219" s="6">
        <f>IF(K219="",0,K219-E219)</f>
        <v/>
      </c>
      <c r="P219" s="6">
        <f>IF(N219&lt;&gt;"Delivered","",IF(K219&lt;=J219,1,0))</f>
        <v/>
      </c>
      <c r="Q219" s="6">
        <f>IFERROR(INDEX(Raw_Suppliers!$C$2:$C$4,MATCH(B219,Raw_Suppliers!$A$2:$A$4,0)),"")</f>
        <v/>
      </c>
      <c r="R219" s="6">
        <f>Q219&amp;"|"&amp;D219</f>
        <v/>
      </c>
      <c r="S219" s="28">
        <f>IFERROR(INDEX(Raw_Tariff_Ref!$H$2:$H$10,MATCH(R219,Raw_Tariff_Ref!$I$2:$I$10,0)),0)</f>
        <v/>
      </c>
      <c r="T219" s="27">
        <f>IF(G219="","",G219*F219)</f>
        <v/>
      </c>
      <c r="U219" s="27">
        <f>IF(G219="","",G219*(1+S219))</f>
        <v/>
      </c>
      <c r="V219" s="27">
        <f>IF(U219="","",U219*F219)</f>
        <v/>
      </c>
      <c r="W219" s="6">
        <f>IF(COUNTIF($A$2:A219,A219)=1,1,0)</f>
        <v/>
      </c>
    </row>
    <row r="220">
      <c r="A220" s="6" t="inlineStr">
        <is>
          <t>PO-1186</t>
        </is>
      </c>
      <c r="B220" s="6" t="inlineStr">
        <is>
          <t>SUP-001</t>
        </is>
      </c>
      <c r="C220" s="6" t="inlineStr">
        <is>
          <t>PDU / MEP Equipment</t>
        </is>
      </c>
      <c r="D220" s="6" t="n">
        <v>8537.1</v>
      </c>
      <c r="E220" s="26" t="n">
        <v>46007</v>
      </c>
      <c r="F220" s="6" t="n">
        <v>25</v>
      </c>
      <c r="G220" s="27" t="n">
        <v>2808.09</v>
      </c>
      <c r="H220" s="6" t="inlineStr">
        <is>
          <t>DDP</t>
        </is>
      </c>
      <c r="I220" s="6" t="inlineStr">
        <is>
          <t>Air</t>
        </is>
      </c>
      <c r="J220" s="26" t="n">
        <v>46022</v>
      </c>
      <c r="K220" s="26" t="n">
        <v>46022</v>
      </c>
      <c r="L220" s="6" t="n">
        <v>0</v>
      </c>
      <c r="M220" s="6" t="inlineStr">
        <is>
          <t>N</t>
        </is>
      </c>
      <c r="N220" s="6" t="inlineStr">
        <is>
          <t>Delivered</t>
        </is>
      </c>
      <c r="O220" s="6">
        <f>IF(K220="",0,K220-E220)</f>
        <v/>
      </c>
      <c r="P220" s="6">
        <f>IF(N220&lt;&gt;"Delivered","",IF(K220&lt;=J220,1,0))</f>
        <v/>
      </c>
      <c r="Q220" s="6">
        <f>IFERROR(INDEX(Raw_Suppliers!$C$2:$C$4,MATCH(B220,Raw_Suppliers!$A$2:$A$4,0)),"")</f>
        <v/>
      </c>
      <c r="R220" s="6">
        <f>Q220&amp;"|"&amp;D220</f>
        <v/>
      </c>
      <c r="S220" s="28">
        <f>IFERROR(INDEX(Raw_Tariff_Ref!$H$2:$H$10,MATCH(R220,Raw_Tariff_Ref!$I$2:$I$10,0)),0)</f>
        <v/>
      </c>
      <c r="T220" s="27">
        <f>IF(G220="","",G220*F220)</f>
        <v/>
      </c>
      <c r="U220" s="27">
        <f>IF(G220="","",G220*(1+S220))</f>
        <v/>
      </c>
      <c r="V220" s="27">
        <f>IF(U220="","",U220*F220)</f>
        <v/>
      </c>
      <c r="W220" s="6">
        <f>IF(COUNTIF($A$2:A220,A220)=1,1,0)</f>
        <v/>
      </c>
    </row>
    <row r="221">
      <c r="A221" s="6" t="inlineStr">
        <is>
          <t>PO-1186</t>
        </is>
      </c>
      <c r="B221" s="6" t="inlineStr">
        <is>
          <t>SUP-001</t>
        </is>
      </c>
      <c r="C221" s="6" t="inlineStr">
        <is>
          <t>PDU / MEP Equipment</t>
        </is>
      </c>
      <c r="D221" s="6" t="n">
        <v>8537.1</v>
      </c>
      <c r="E221" s="26" t="n">
        <v>46007</v>
      </c>
      <c r="F221" s="6" t="n">
        <v>25</v>
      </c>
      <c r="G221" s="27" t="n">
        <v>2808.09</v>
      </c>
      <c r="H221" s="6" t="inlineStr">
        <is>
          <t>DDP</t>
        </is>
      </c>
      <c r="I221" s="6" t="inlineStr">
        <is>
          <t>Air</t>
        </is>
      </c>
      <c r="J221" s="26" t="n">
        <v>46022</v>
      </c>
      <c r="K221" s="26" t="n">
        <v>46022</v>
      </c>
      <c r="L221" s="6" t="n">
        <v>0</v>
      </c>
      <c r="M221" s="6" t="inlineStr">
        <is>
          <t>N</t>
        </is>
      </c>
      <c r="N221" s="6" t="inlineStr">
        <is>
          <t>Delivered</t>
        </is>
      </c>
      <c r="O221" s="6">
        <f>IF(K221="",0,K221-E221)</f>
        <v/>
      </c>
      <c r="P221" s="6">
        <f>IF(N221&lt;&gt;"Delivered","",IF(K221&lt;=J221,1,0))</f>
        <v/>
      </c>
      <c r="Q221" s="6">
        <f>IFERROR(INDEX(Raw_Suppliers!$C$2:$C$4,MATCH(B221,Raw_Suppliers!$A$2:$A$4,0)),"")</f>
        <v/>
      </c>
      <c r="R221" s="6">
        <f>Q221&amp;"|"&amp;D221</f>
        <v/>
      </c>
      <c r="S221" s="28">
        <f>IFERROR(INDEX(Raw_Tariff_Ref!$H$2:$H$10,MATCH(R221,Raw_Tariff_Ref!$I$2:$I$10,0)),0)</f>
        <v/>
      </c>
      <c r="T221" s="27">
        <f>IF(G221="","",G221*F221)</f>
        <v/>
      </c>
      <c r="U221" s="27">
        <f>IF(G221="","",G221*(1+S221))</f>
        <v/>
      </c>
      <c r="V221" s="27">
        <f>IF(U221="","",U221*F221)</f>
        <v/>
      </c>
      <c r="W221" s="6">
        <f>IF(COUNTIF($A$2:A221,A221)=1,1,0)</f>
        <v/>
      </c>
    </row>
    <row r="222">
      <c r="A222" s="6" t="inlineStr">
        <is>
          <t>PO-1030</t>
        </is>
      </c>
      <c r="B222" s="6" t="inlineStr">
        <is>
          <t>SUP-001</t>
        </is>
      </c>
      <c r="C222" s="6" t="inlineStr">
        <is>
          <t>GPU Servers</t>
        </is>
      </c>
      <c r="D222" s="6" t="n">
        <v>8471.5</v>
      </c>
      <c r="E222" s="26" t="n">
        <v>46014</v>
      </c>
      <c r="F222" s="6" t="n">
        <v>10</v>
      </c>
      <c r="G222" s="27" t="n">
        <v>18947.3</v>
      </c>
      <c r="H222" s="6" t="inlineStr">
        <is>
          <t>DDP</t>
        </is>
      </c>
      <c r="I222" s="6" t="inlineStr">
        <is>
          <t>Truck</t>
        </is>
      </c>
      <c r="J222" s="26" t="n">
        <v>46026</v>
      </c>
      <c r="K222" s="26" t="n">
        <v>46026</v>
      </c>
      <c r="L222" s="6" t="n">
        <v>0</v>
      </c>
      <c r="M222" s="6" t="inlineStr">
        <is>
          <t>N</t>
        </is>
      </c>
      <c r="N222" s="6" t="inlineStr">
        <is>
          <t>Delivered</t>
        </is>
      </c>
      <c r="O222" s="6">
        <f>IF(K222="",0,K222-E222)</f>
        <v/>
      </c>
      <c r="P222" s="6">
        <f>IF(N222&lt;&gt;"Delivered","",IF(K222&lt;=J222,1,0))</f>
        <v/>
      </c>
      <c r="Q222" s="6">
        <f>IFERROR(INDEX(Raw_Suppliers!$C$2:$C$4,MATCH(B222,Raw_Suppliers!$A$2:$A$4,0)),"")</f>
        <v/>
      </c>
      <c r="R222" s="6">
        <f>Q222&amp;"|"&amp;D222</f>
        <v/>
      </c>
      <c r="S222" s="28">
        <f>IFERROR(INDEX(Raw_Tariff_Ref!$H$2:$H$10,MATCH(R222,Raw_Tariff_Ref!$I$2:$I$10,0)),0)</f>
        <v/>
      </c>
      <c r="T222" s="27">
        <f>IF(G222="","",G222*F222)</f>
        <v/>
      </c>
      <c r="U222" s="27">
        <f>IF(G222="","",G222*(1+S222))</f>
        <v/>
      </c>
      <c r="V222" s="27">
        <f>IF(U222="","",U222*F222)</f>
        <v/>
      </c>
      <c r="W222" s="6">
        <f>IF(COUNTIF($A$2:A222,A222)=1,1,0)</f>
        <v/>
      </c>
    </row>
    <row r="223">
      <c r="A223" s="6" t="inlineStr">
        <is>
          <t>PO-1124</t>
        </is>
      </c>
      <c r="B223" s="6" t="inlineStr">
        <is>
          <t>SUP-001</t>
        </is>
      </c>
      <c r="C223" s="6" t="inlineStr">
        <is>
          <t>GPU Servers</t>
        </is>
      </c>
      <c r="D223" s="6" t="n">
        <v>8471.5</v>
      </c>
      <c r="E223" s="26" t="n">
        <v>46016</v>
      </c>
      <c r="F223" s="6" t="n">
        <v>40</v>
      </c>
      <c r="G223" s="27" t="n">
        <v>20656.95</v>
      </c>
      <c r="H223" s="6" t="inlineStr">
        <is>
          <t>DDP</t>
        </is>
      </c>
      <c r="I223" s="6" t="inlineStr">
        <is>
          <t>Truck</t>
        </is>
      </c>
      <c r="J223" s="26" t="n">
        <v>46031</v>
      </c>
      <c r="K223" s="26" t="n">
        <v>46030</v>
      </c>
      <c r="L223" s="6" t="n">
        <v>0</v>
      </c>
      <c r="M223" s="6" t="inlineStr">
        <is>
          <t>N</t>
        </is>
      </c>
      <c r="N223" s="6" t="inlineStr">
        <is>
          <t>Delivered</t>
        </is>
      </c>
      <c r="O223" s="6">
        <f>IF(K223="",0,K223-E223)</f>
        <v/>
      </c>
      <c r="P223" s="6">
        <f>IF(N223&lt;&gt;"Delivered","",IF(K223&lt;=J223,1,0))</f>
        <v/>
      </c>
      <c r="Q223" s="6">
        <f>IFERROR(INDEX(Raw_Suppliers!$C$2:$C$4,MATCH(B223,Raw_Suppliers!$A$2:$A$4,0)),"")</f>
        <v/>
      </c>
      <c r="R223" s="6">
        <f>Q223&amp;"|"&amp;D223</f>
        <v/>
      </c>
      <c r="S223" s="28">
        <f>IFERROR(INDEX(Raw_Tariff_Ref!$H$2:$H$10,MATCH(R223,Raw_Tariff_Ref!$I$2:$I$10,0)),0)</f>
        <v/>
      </c>
      <c r="T223" s="27">
        <f>IF(G223="","",G223*F223)</f>
        <v/>
      </c>
      <c r="U223" s="27">
        <f>IF(G223="","",G223*(1+S223))</f>
        <v/>
      </c>
      <c r="V223" s="27">
        <f>IF(U223="","",U223*F223)</f>
        <v/>
      </c>
      <c r="W223" s="6">
        <f>IF(COUNTIF($A$2:A223,A223)=1,1,0)</f>
        <v/>
      </c>
    </row>
    <row r="224">
      <c r="A224" s="6" t="inlineStr">
        <is>
          <t>PO-1167</t>
        </is>
      </c>
      <c r="B224" s="6" t="inlineStr">
        <is>
          <t>SUP-003</t>
        </is>
      </c>
      <c r="C224" s="6" t="inlineStr">
        <is>
          <t>Network Switches</t>
        </is>
      </c>
      <c r="D224" s="6" t="n">
        <v>8517.620000000001</v>
      </c>
      <c r="E224" s="26" t="n">
        <v>46018</v>
      </c>
      <c r="F224" s="6" t="n">
        <v>25</v>
      </c>
      <c r="G224" s="27" t="n">
        <v>2763.21</v>
      </c>
      <c r="H224" s="6" t="inlineStr">
        <is>
          <t>FOB</t>
        </is>
      </c>
      <c r="I224" s="6" t="inlineStr">
        <is>
          <t>Ocean</t>
        </is>
      </c>
      <c r="J224" s="26" t="n">
        <v>46048</v>
      </c>
      <c r="K224" s="26" t="n">
        <v>46085</v>
      </c>
      <c r="L224" s="6" t="n">
        <v>5</v>
      </c>
      <c r="M224" s="6" t="inlineStr">
        <is>
          <t>N</t>
        </is>
      </c>
      <c r="N224" s="6" t="inlineStr">
        <is>
          <t>Delivered</t>
        </is>
      </c>
      <c r="O224" s="6">
        <f>IF(K224="",0,K224-E224)</f>
        <v/>
      </c>
      <c r="P224" s="6">
        <f>IF(N224&lt;&gt;"Delivered","",IF(K224&lt;=J224,1,0))</f>
        <v/>
      </c>
      <c r="Q224" s="6">
        <f>IFERROR(INDEX(Raw_Suppliers!$C$2:$C$4,MATCH(B224,Raw_Suppliers!$A$2:$A$4,0)),"")</f>
        <v/>
      </c>
      <c r="R224" s="6">
        <f>Q224&amp;"|"&amp;D224</f>
        <v/>
      </c>
      <c r="S224" s="28">
        <f>IFERROR(INDEX(Raw_Tariff_Ref!$H$2:$H$10,MATCH(R224,Raw_Tariff_Ref!$I$2:$I$10,0)),0)</f>
        <v/>
      </c>
      <c r="T224" s="27">
        <f>IF(G224="","",G224*F224)</f>
        <v/>
      </c>
      <c r="U224" s="27">
        <f>IF(G224="","",G224*(1+S224))</f>
        <v/>
      </c>
      <c r="V224" s="27">
        <f>IF(U224="","",U224*F224)</f>
        <v/>
      </c>
      <c r="W224" s="6">
        <f>IF(COUNTIF($A$2:A224,A224)=1,1,0)</f>
        <v/>
      </c>
    </row>
    <row r="225">
      <c r="A225" s="6" t="inlineStr">
        <is>
          <t>PO-1260</t>
        </is>
      </c>
      <c r="B225" s="6" t="inlineStr">
        <is>
          <t>SUP-002</t>
        </is>
      </c>
      <c r="C225" s="6" t="inlineStr">
        <is>
          <t>Network Switches</t>
        </is>
      </c>
      <c r="D225" s="6" t="n">
        <v>8517.620000000001</v>
      </c>
      <c r="E225" s="26" t="n">
        <v>46019</v>
      </c>
      <c r="F225" s="6" t="n">
        <v>40</v>
      </c>
      <c r="G225" s="27" t="n">
        <v>4430.14</v>
      </c>
      <c r="H225" s="6" t="inlineStr">
        <is>
          <t>CIF</t>
        </is>
      </c>
      <c r="I225" s="6" t="inlineStr">
        <is>
          <t>Truck</t>
        </is>
      </c>
      <c r="J225" s="26" t="n">
        <v>46028</v>
      </c>
      <c r="K225" s="26" t="n">
        <v>46027</v>
      </c>
      <c r="L225" s="6" t="n">
        <v>2</v>
      </c>
      <c r="M225" s="6" t="inlineStr">
        <is>
          <t>N</t>
        </is>
      </c>
      <c r="N225" s="6" t="inlineStr">
        <is>
          <t>Delivered</t>
        </is>
      </c>
      <c r="O225" s="6">
        <f>IF(K225="",0,K225-E225)</f>
        <v/>
      </c>
      <c r="P225" s="6">
        <f>IF(N225&lt;&gt;"Delivered","",IF(K225&lt;=J225,1,0))</f>
        <v/>
      </c>
      <c r="Q225" s="6">
        <f>IFERROR(INDEX(Raw_Suppliers!$C$2:$C$4,MATCH(B225,Raw_Suppliers!$A$2:$A$4,0)),"")</f>
        <v/>
      </c>
      <c r="R225" s="6">
        <f>Q225&amp;"|"&amp;D225</f>
        <v/>
      </c>
      <c r="S225" s="28">
        <f>IFERROR(INDEX(Raw_Tariff_Ref!$H$2:$H$10,MATCH(R225,Raw_Tariff_Ref!$I$2:$I$10,0)),0)</f>
        <v/>
      </c>
      <c r="T225" s="27">
        <f>IF(G225="","",G225*F225)</f>
        <v/>
      </c>
      <c r="U225" s="27">
        <f>IF(G225="","",G225*(1+S225))</f>
        <v/>
      </c>
      <c r="V225" s="27">
        <f>IF(U225="","",U225*F225)</f>
        <v/>
      </c>
      <c r="W225" s="6">
        <f>IF(COUNTIF($A$2:A225,A225)=1,1,0)</f>
        <v/>
      </c>
    </row>
    <row r="226">
      <c r="A226" s="6" t="inlineStr">
        <is>
          <t>PO-1028</t>
        </is>
      </c>
      <c r="B226" s="6" t="inlineStr">
        <is>
          <t>SUP-002</t>
        </is>
      </c>
      <c r="C226" s="6" t="inlineStr">
        <is>
          <t>Network Switches</t>
        </is>
      </c>
      <c r="D226" s="6" t="n">
        <v>8517.620000000001</v>
      </c>
      <c r="E226" s="26" t="n">
        <v>46020</v>
      </c>
      <c r="F226" s="6" t="n">
        <v>12</v>
      </c>
      <c r="G226" s="27" t="n">
        <v>3689.96</v>
      </c>
      <c r="H226" s="6" t="inlineStr">
        <is>
          <t>CIF</t>
        </is>
      </c>
      <c r="I226" s="6" t="inlineStr">
        <is>
          <t>Ocean</t>
        </is>
      </c>
      <c r="J226" s="26" t="n">
        <v>46036</v>
      </c>
      <c r="K226" s="26" t="n">
        <v>46044</v>
      </c>
      <c r="L226" s="6" t="n">
        <v>1</v>
      </c>
      <c r="M226" s="6" t="inlineStr">
        <is>
          <t>N</t>
        </is>
      </c>
      <c r="N226" s="6" t="inlineStr">
        <is>
          <t>Delivered</t>
        </is>
      </c>
      <c r="O226" s="6">
        <f>IF(K226="",0,K226-E226)</f>
        <v/>
      </c>
      <c r="P226" s="6">
        <f>IF(N226&lt;&gt;"Delivered","",IF(K226&lt;=J226,1,0))</f>
        <v/>
      </c>
      <c r="Q226" s="6">
        <f>IFERROR(INDEX(Raw_Suppliers!$C$2:$C$4,MATCH(B226,Raw_Suppliers!$A$2:$A$4,0)),"")</f>
        <v/>
      </c>
      <c r="R226" s="6">
        <f>Q226&amp;"|"&amp;D226</f>
        <v/>
      </c>
      <c r="S226" s="28">
        <f>IFERROR(INDEX(Raw_Tariff_Ref!$H$2:$H$10,MATCH(R226,Raw_Tariff_Ref!$I$2:$I$10,0)),0)</f>
        <v/>
      </c>
      <c r="T226" s="27">
        <f>IF(G226="","",G226*F226)</f>
        <v/>
      </c>
      <c r="U226" s="27">
        <f>IF(G226="","",G226*(1+S226))</f>
        <v/>
      </c>
      <c r="V226" s="27">
        <f>IF(U226="","",U226*F226)</f>
        <v/>
      </c>
      <c r="W226" s="6">
        <f>IF(COUNTIF($A$2:A226,A226)=1,1,0)</f>
        <v/>
      </c>
    </row>
    <row r="227">
      <c r="A227" s="6" t="inlineStr">
        <is>
          <t>PO-1055</t>
        </is>
      </c>
      <c r="B227" s="6" t="inlineStr">
        <is>
          <t>SUP-002</t>
        </is>
      </c>
      <c r="C227" s="6" t="inlineStr">
        <is>
          <t>Network Switches</t>
        </is>
      </c>
      <c r="D227" s="6" t="n">
        <v>8517.620000000001</v>
      </c>
      <c r="E227" s="26" t="n">
        <v>46021</v>
      </c>
      <c r="F227" s="6" t="n">
        <v>2</v>
      </c>
      <c r="G227" s="27" t="n">
        <v>4981.79</v>
      </c>
      <c r="H227" s="6" t="inlineStr">
        <is>
          <t>FOB</t>
        </is>
      </c>
      <c r="I227" s="6" t="inlineStr">
        <is>
          <t>Truck</t>
        </is>
      </c>
      <c r="J227" s="26" t="n">
        <v>46042</v>
      </c>
      <c r="K227" s="26" t="n">
        <v>46040</v>
      </c>
      <c r="L227" s="6" t="n">
        <v>1</v>
      </c>
      <c r="M227" s="6" t="inlineStr">
        <is>
          <t>N</t>
        </is>
      </c>
      <c r="N227" s="6" t="inlineStr">
        <is>
          <t>Delivered</t>
        </is>
      </c>
      <c r="O227" s="6">
        <f>IF(K227="",0,K227-E227)</f>
        <v/>
      </c>
      <c r="P227" s="6">
        <f>IF(N227&lt;&gt;"Delivered","",IF(K227&lt;=J227,1,0))</f>
        <v/>
      </c>
      <c r="Q227" s="6">
        <f>IFERROR(INDEX(Raw_Suppliers!$C$2:$C$4,MATCH(B227,Raw_Suppliers!$A$2:$A$4,0)),"")</f>
        <v/>
      </c>
      <c r="R227" s="6">
        <f>Q227&amp;"|"&amp;D227</f>
        <v/>
      </c>
      <c r="S227" s="28">
        <f>IFERROR(INDEX(Raw_Tariff_Ref!$H$2:$H$10,MATCH(R227,Raw_Tariff_Ref!$I$2:$I$10,0)),0)</f>
        <v/>
      </c>
      <c r="T227" s="27">
        <f>IF(G227="","",G227*F227)</f>
        <v/>
      </c>
      <c r="U227" s="27">
        <f>IF(G227="","",G227*(1+S227))</f>
        <v/>
      </c>
      <c r="V227" s="27">
        <f>IF(U227="","",U227*F227)</f>
        <v/>
      </c>
      <c r="W227" s="6">
        <f>IF(COUNTIF($A$2:A227,A227)=1,1,0)</f>
        <v/>
      </c>
    </row>
    <row r="228">
      <c r="A228" s="6" t="inlineStr">
        <is>
          <t>PO-1119</t>
        </is>
      </c>
      <c r="B228" s="6" t="inlineStr">
        <is>
          <t>SUP-001</t>
        </is>
      </c>
      <c r="C228" s="6" t="inlineStr">
        <is>
          <t>GPU Servers</t>
        </is>
      </c>
      <c r="D228" s="6" t="n">
        <v>8471.5</v>
      </c>
      <c r="E228" s="26" t="n">
        <v>46021</v>
      </c>
      <c r="F228" s="6" t="n">
        <v>4</v>
      </c>
      <c r="G228" s="27" t="n">
        <v>22676.18</v>
      </c>
      <c r="H228" s="6" t="inlineStr">
        <is>
          <t>FOB</t>
        </is>
      </c>
      <c r="I228" s="6" t="inlineStr">
        <is>
          <t>Air</t>
        </is>
      </c>
      <c r="J228" s="26" t="n">
        <v>46029</v>
      </c>
      <c r="K228" s="26" t="n">
        <v>46028</v>
      </c>
      <c r="L228" s="6" t="n">
        <v>0</v>
      </c>
      <c r="M228" s="6" t="inlineStr">
        <is>
          <t>N</t>
        </is>
      </c>
      <c r="N228" s="6" t="inlineStr">
        <is>
          <t>Delivered</t>
        </is>
      </c>
      <c r="O228" s="6">
        <f>IF(K228="",0,K228-E228)</f>
        <v/>
      </c>
      <c r="P228" s="6">
        <f>IF(N228&lt;&gt;"Delivered","",IF(K228&lt;=J228,1,0))</f>
        <v/>
      </c>
      <c r="Q228" s="6">
        <f>IFERROR(INDEX(Raw_Suppliers!$C$2:$C$4,MATCH(B228,Raw_Suppliers!$A$2:$A$4,0)),"")</f>
        <v/>
      </c>
      <c r="R228" s="6">
        <f>Q228&amp;"|"&amp;D228</f>
        <v/>
      </c>
      <c r="S228" s="28">
        <f>IFERROR(INDEX(Raw_Tariff_Ref!$H$2:$H$10,MATCH(R228,Raw_Tariff_Ref!$I$2:$I$10,0)),0)</f>
        <v/>
      </c>
      <c r="T228" s="27">
        <f>IF(G228="","",G228*F228)</f>
        <v/>
      </c>
      <c r="U228" s="27">
        <f>IF(G228="","",G228*(1+S228))</f>
        <v/>
      </c>
      <c r="V228" s="27">
        <f>IF(U228="","",U228*F228)</f>
        <v/>
      </c>
      <c r="W228" s="6">
        <f>IF(COUNTIF($A$2:A228,A228)=1,1,0)</f>
        <v/>
      </c>
    </row>
    <row r="229">
      <c r="A229" s="6" t="inlineStr">
        <is>
          <t>PO-1268</t>
        </is>
      </c>
      <c r="B229" s="6" t="inlineStr">
        <is>
          <t>SUP-003</t>
        </is>
      </c>
      <c r="C229" s="6" t="inlineStr">
        <is>
          <t>GPU Servers</t>
        </is>
      </c>
      <c r="D229" s="6" t="n">
        <v>8471.5</v>
      </c>
      <c r="E229" s="26" t="n">
        <v>46022</v>
      </c>
      <c r="F229" s="6" t="n">
        <v>5</v>
      </c>
      <c r="G229" s="27" t="n">
        <v>13790.4</v>
      </c>
      <c r="H229" s="6" t="inlineStr">
        <is>
          <t>EXW</t>
        </is>
      </c>
      <c r="I229" s="6" t="inlineStr">
        <is>
          <t>Ocean</t>
        </is>
      </c>
      <c r="J229" s="26" t="n">
        <v>46055</v>
      </c>
      <c r="K229" s="26" t="n">
        <v>46084</v>
      </c>
      <c r="L229" s="6" t="n">
        <v>3</v>
      </c>
      <c r="M229" s="6" t="inlineStr">
        <is>
          <t>N</t>
        </is>
      </c>
      <c r="N229" s="6" t="inlineStr">
        <is>
          <t>Delivered</t>
        </is>
      </c>
      <c r="O229" s="6">
        <f>IF(K229="",0,K229-E229)</f>
        <v/>
      </c>
      <c r="P229" s="6">
        <f>IF(N229&lt;&gt;"Delivered","",IF(K229&lt;=J229,1,0))</f>
        <v/>
      </c>
      <c r="Q229" s="6">
        <f>IFERROR(INDEX(Raw_Suppliers!$C$2:$C$4,MATCH(B229,Raw_Suppliers!$A$2:$A$4,0)),"")</f>
        <v/>
      </c>
      <c r="R229" s="6">
        <f>Q229&amp;"|"&amp;D229</f>
        <v/>
      </c>
      <c r="S229" s="28">
        <f>IFERROR(INDEX(Raw_Tariff_Ref!$H$2:$H$10,MATCH(R229,Raw_Tariff_Ref!$I$2:$I$10,0)),0)</f>
        <v/>
      </c>
      <c r="T229" s="27">
        <f>IF(G229="","",G229*F229)</f>
        <v/>
      </c>
      <c r="U229" s="27">
        <f>IF(G229="","",G229*(1+S229))</f>
        <v/>
      </c>
      <c r="V229" s="27">
        <f>IF(U229="","",U229*F229)</f>
        <v/>
      </c>
      <c r="W229" s="6">
        <f>IF(COUNTIF($A$2:A229,A229)=1,1,0)</f>
        <v/>
      </c>
    </row>
    <row r="230">
      <c r="A230" s="6" t="inlineStr">
        <is>
          <t>PO-1161</t>
        </is>
      </c>
      <c r="B230" s="6" t="inlineStr">
        <is>
          <t>SUP-001</t>
        </is>
      </c>
      <c r="C230" s="6" t="inlineStr">
        <is>
          <t>PDU / MEP Equipment</t>
        </is>
      </c>
      <c r="D230" s="6" t="n">
        <v>8537.1</v>
      </c>
      <c r="E230" s="26" t="n">
        <v>46022</v>
      </c>
      <c r="F230" s="6" t="n">
        <v>12</v>
      </c>
      <c r="G230" s="27" t="n">
        <v>2286.08</v>
      </c>
      <c r="H230" s="6" t="inlineStr">
        <is>
          <t>DDP</t>
        </is>
      </c>
      <c r="I230" s="6" t="inlineStr">
        <is>
          <t>Air</t>
        </is>
      </c>
      <c r="J230" s="26" t="n">
        <v>46029</v>
      </c>
      <c r="K230" s="26" t="n">
        <v>46029</v>
      </c>
      <c r="L230" s="6" t="n">
        <v>0</v>
      </c>
      <c r="M230" s="6" t="inlineStr">
        <is>
          <t>N</t>
        </is>
      </c>
      <c r="N230" s="6" t="inlineStr">
        <is>
          <t>Delivered</t>
        </is>
      </c>
      <c r="O230" s="6">
        <f>IF(K230="",0,K230-E230)</f>
        <v/>
      </c>
      <c r="P230" s="6">
        <f>IF(N230&lt;&gt;"Delivered","",IF(K230&lt;=J230,1,0))</f>
        <v/>
      </c>
      <c r="Q230" s="6">
        <f>IFERROR(INDEX(Raw_Suppliers!$C$2:$C$4,MATCH(B230,Raw_Suppliers!$A$2:$A$4,0)),"")</f>
        <v/>
      </c>
      <c r="R230" s="6">
        <f>Q230&amp;"|"&amp;D230</f>
        <v/>
      </c>
      <c r="S230" s="28">
        <f>IFERROR(INDEX(Raw_Tariff_Ref!$H$2:$H$10,MATCH(R230,Raw_Tariff_Ref!$I$2:$I$10,0)),0)</f>
        <v/>
      </c>
      <c r="T230" s="27">
        <f>IF(G230="","",G230*F230)</f>
        <v/>
      </c>
      <c r="U230" s="27">
        <f>IF(G230="","",G230*(1+S230))</f>
        <v/>
      </c>
      <c r="V230" s="27">
        <f>IF(U230="","",U230*F230)</f>
        <v/>
      </c>
      <c r="W230" s="6">
        <f>IF(COUNTIF($A$2:A230,A230)=1,1,0)</f>
        <v/>
      </c>
    </row>
    <row r="231">
      <c r="A231" s="6" t="inlineStr">
        <is>
          <t>PO-1065</t>
        </is>
      </c>
      <c r="B231" s="6" t="inlineStr">
        <is>
          <t>SUP-002</t>
        </is>
      </c>
      <c r="C231" s="6" t="inlineStr">
        <is>
          <t>GPU Servers</t>
        </is>
      </c>
      <c r="D231" s="6" t="n">
        <v>8471.5</v>
      </c>
      <c r="E231" s="26" t="n">
        <v>46023</v>
      </c>
      <c r="F231" s="6" t="n">
        <v>10</v>
      </c>
      <c r="G231" s="27" t="n">
        <v>17609.98</v>
      </c>
      <c r="H231" s="6" t="inlineStr">
        <is>
          <t>FOB</t>
        </is>
      </c>
      <c r="I231" s="6" t="inlineStr">
        <is>
          <t>truck</t>
        </is>
      </c>
      <c r="J231" s="26" t="n">
        <v>46040</v>
      </c>
      <c r="K231" s="26" t="n">
        <v>46039</v>
      </c>
      <c r="L231" s="6" t="n">
        <v>3</v>
      </c>
      <c r="M231" s="6" t="inlineStr">
        <is>
          <t>N</t>
        </is>
      </c>
      <c r="N231" s="6" t="inlineStr">
        <is>
          <t>Delivered</t>
        </is>
      </c>
      <c r="O231" s="6">
        <f>IF(K231="",0,K231-E231)</f>
        <v/>
      </c>
      <c r="P231" s="6">
        <f>IF(N231&lt;&gt;"Delivered","",IF(K231&lt;=J231,1,0))</f>
        <v/>
      </c>
      <c r="Q231" s="6">
        <f>IFERROR(INDEX(Raw_Suppliers!$C$2:$C$4,MATCH(B231,Raw_Suppliers!$A$2:$A$4,0)),"")</f>
        <v/>
      </c>
      <c r="R231" s="6">
        <f>Q231&amp;"|"&amp;D231</f>
        <v/>
      </c>
      <c r="S231" s="28">
        <f>IFERROR(INDEX(Raw_Tariff_Ref!$H$2:$H$10,MATCH(R231,Raw_Tariff_Ref!$I$2:$I$10,0)),0)</f>
        <v/>
      </c>
      <c r="T231" s="27">
        <f>IF(G231="","",G231*F231)</f>
        <v/>
      </c>
      <c r="U231" s="27">
        <f>IF(G231="","",G231*(1+S231))</f>
        <v/>
      </c>
      <c r="V231" s="27">
        <f>IF(U231="","",U231*F231)</f>
        <v/>
      </c>
      <c r="W231" s="6">
        <f>IF(COUNTIF($A$2:A231,A231)=1,1,0)</f>
        <v/>
      </c>
    </row>
    <row r="232">
      <c r="A232" s="6" t="inlineStr">
        <is>
          <t>PO-1096</t>
        </is>
      </c>
      <c r="B232" s="6" t="inlineStr">
        <is>
          <t>SUP-003</t>
        </is>
      </c>
      <c r="C232" s="6" t="inlineStr">
        <is>
          <t>PDU / MEP Equipment</t>
        </is>
      </c>
      <c r="D232" s="6" t="n">
        <v>8537.1</v>
      </c>
      <c r="E232" s="26" t="n">
        <v>46023</v>
      </c>
      <c r="F232" s="6" t="n">
        <v>40</v>
      </c>
      <c r="G232" s="27" t="n">
        <v>2182.35</v>
      </c>
      <c r="H232" s="6" t="inlineStr">
        <is>
          <t>CIF</t>
        </is>
      </c>
      <c r="I232" s="6" t="inlineStr">
        <is>
          <t>Ocean</t>
        </is>
      </c>
      <c r="J232" s="26" t="n">
        <v>46073</v>
      </c>
      <c r="K232" s="26" t="n">
        <v>46071</v>
      </c>
      <c r="L232" s="6" t="n">
        <v>4</v>
      </c>
      <c r="M232" s="6" t="inlineStr">
        <is>
          <t>N</t>
        </is>
      </c>
      <c r="N232" s="6" t="inlineStr">
        <is>
          <t>Delivered</t>
        </is>
      </c>
      <c r="O232" s="6">
        <f>IF(K232="",0,K232-E232)</f>
        <v/>
      </c>
      <c r="P232" s="6">
        <f>IF(N232&lt;&gt;"Delivered","",IF(K232&lt;=J232,1,0))</f>
        <v/>
      </c>
      <c r="Q232" s="6">
        <f>IFERROR(INDEX(Raw_Suppliers!$C$2:$C$4,MATCH(B232,Raw_Suppliers!$A$2:$A$4,0)),"")</f>
        <v/>
      </c>
      <c r="R232" s="6">
        <f>Q232&amp;"|"&amp;D232</f>
        <v/>
      </c>
      <c r="S232" s="28">
        <f>IFERROR(INDEX(Raw_Tariff_Ref!$H$2:$H$10,MATCH(R232,Raw_Tariff_Ref!$I$2:$I$10,0)),0)</f>
        <v/>
      </c>
      <c r="T232" s="27">
        <f>IF(G232="","",G232*F232)</f>
        <v/>
      </c>
      <c r="U232" s="27">
        <f>IF(G232="","",G232*(1+S232))</f>
        <v/>
      </c>
      <c r="V232" s="27">
        <f>IF(U232="","",U232*F232)</f>
        <v/>
      </c>
      <c r="W232" s="6">
        <f>IF(COUNTIF($A$2:A232,A232)=1,1,0)</f>
        <v/>
      </c>
    </row>
    <row r="233">
      <c r="A233" s="6" t="inlineStr">
        <is>
          <t>PO-1152</t>
        </is>
      </c>
      <c r="B233" s="6" t="inlineStr">
        <is>
          <t>SUP-001</t>
        </is>
      </c>
      <c r="C233" s="6" t="inlineStr">
        <is>
          <t>GPU Servers</t>
        </is>
      </c>
      <c r="D233" s="6" t="n">
        <v>8471.5</v>
      </c>
      <c r="E233" s="26" t="n">
        <v>46024</v>
      </c>
      <c r="F233" s="6" t="n">
        <v>5</v>
      </c>
      <c r="G233" s="27" t="n">
        <v>21017.6</v>
      </c>
      <c r="H233" s="6" t="inlineStr">
        <is>
          <t>FOB</t>
        </is>
      </c>
      <c r="I233" s="6" t="inlineStr">
        <is>
          <t>Air</t>
        </is>
      </c>
      <c r="J233" s="26" t="n">
        <v>46042</v>
      </c>
      <c r="K233" s="26" t="n">
        <v>46041</v>
      </c>
      <c r="L233" s="6" t="n">
        <v>0</v>
      </c>
      <c r="M233" s="6" t="inlineStr">
        <is>
          <t>N</t>
        </is>
      </c>
      <c r="N233" s="6" t="inlineStr">
        <is>
          <t>Delivered</t>
        </is>
      </c>
      <c r="O233" s="6">
        <f>IF(K233="",0,K233-E233)</f>
        <v/>
      </c>
      <c r="P233" s="6">
        <f>IF(N233&lt;&gt;"Delivered","",IF(K233&lt;=J233,1,0))</f>
        <v/>
      </c>
      <c r="Q233" s="6">
        <f>IFERROR(INDEX(Raw_Suppliers!$C$2:$C$4,MATCH(B233,Raw_Suppliers!$A$2:$A$4,0)),"")</f>
        <v/>
      </c>
      <c r="R233" s="6">
        <f>Q233&amp;"|"&amp;D233</f>
        <v/>
      </c>
      <c r="S233" s="28">
        <f>IFERROR(INDEX(Raw_Tariff_Ref!$H$2:$H$10,MATCH(R233,Raw_Tariff_Ref!$I$2:$I$10,0)),0)</f>
        <v/>
      </c>
      <c r="T233" s="27">
        <f>IF(G233="","",G233*F233)</f>
        <v/>
      </c>
      <c r="U233" s="27">
        <f>IF(G233="","",G233*(1+S233))</f>
        <v/>
      </c>
      <c r="V233" s="27">
        <f>IF(U233="","",U233*F233)</f>
        <v/>
      </c>
      <c r="W233" s="6">
        <f>IF(COUNTIF($A$2:A233,A233)=1,1,0)</f>
        <v/>
      </c>
    </row>
    <row r="234">
      <c r="A234" s="6" t="inlineStr">
        <is>
          <t>PO-1033</t>
        </is>
      </c>
      <c r="B234" s="6" t="inlineStr">
        <is>
          <t>SUP-002</t>
        </is>
      </c>
      <c r="C234" s="6" t="inlineStr">
        <is>
          <t>Network Switches</t>
        </is>
      </c>
      <c r="D234" s="6" t="n">
        <v>8517.620000000001</v>
      </c>
      <c r="E234" s="26" t="n">
        <v>46029</v>
      </c>
      <c r="F234" s="6" t="n">
        <v>4</v>
      </c>
      <c r="G234" s="27" t="n"/>
      <c r="H234" s="6" t="inlineStr">
        <is>
          <t>CIF</t>
        </is>
      </c>
      <c r="I234" s="6" t="inlineStr">
        <is>
          <t>Truck</t>
        </is>
      </c>
      <c r="J234" s="26" t="n">
        <v>46049</v>
      </c>
      <c r="K234" s="26" t="n">
        <v>46047</v>
      </c>
      <c r="L234" s="6" t="n">
        <v>2</v>
      </c>
      <c r="M234" s="6" t="inlineStr">
        <is>
          <t>N</t>
        </is>
      </c>
      <c r="N234" s="6" t="inlineStr">
        <is>
          <t>Delivered</t>
        </is>
      </c>
      <c r="O234" s="6">
        <f>IF(K234="",0,K234-E234)</f>
        <v/>
      </c>
      <c r="P234" s="6">
        <f>IF(N234&lt;&gt;"Delivered","",IF(K234&lt;=J234,1,0))</f>
        <v/>
      </c>
      <c r="Q234" s="6">
        <f>IFERROR(INDEX(Raw_Suppliers!$C$2:$C$4,MATCH(B234,Raw_Suppliers!$A$2:$A$4,0)),"")</f>
        <v/>
      </c>
      <c r="R234" s="6">
        <f>Q234&amp;"|"&amp;D234</f>
        <v/>
      </c>
      <c r="S234" s="28">
        <f>IFERROR(INDEX(Raw_Tariff_Ref!$H$2:$H$10,MATCH(R234,Raw_Tariff_Ref!$I$2:$I$10,0)),0)</f>
        <v/>
      </c>
      <c r="T234" s="27">
        <f>IF(G234="","",G234*F234)</f>
        <v/>
      </c>
      <c r="U234" s="27">
        <f>IF(G234="","",G234*(1+S234))</f>
        <v/>
      </c>
      <c r="V234" s="27">
        <f>IF(U234="","",U234*F234)</f>
        <v/>
      </c>
      <c r="W234" s="6">
        <f>IF(COUNTIF($A$2:A234,A234)=1,1,0)</f>
        <v/>
      </c>
    </row>
    <row r="235">
      <c r="A235" s="6" t="inlineStr">
        <is>
          <t>PO-1106</t>
        </is>
      </c>
      <c r="B235" s="6" t="inlineStr">
        <is>
          <t>SUP-003</t>
        </is>
      </c>
      <c r="C235" s="6" t="inlineStr">
        <is>
          <t>GPU Servers</t>
        </is>
      </c>
      <c r="D235" s="6" t="n">
        <v>8471.5</v>
      </c>
      <c r="E235" s="26" t="n">
        <v>46030</v>
      </c>
      <c r="F235" s="6" t="n">
        <v>8</v>
      </c>
      <c r="G235" s="27" t="n">
        <v>15569.14</v>
      </c>
      <c r="H235" s="6" t="inlineStr">
        <is>
          <t>FOB</t>
        </is>
      </c>
      <c r="I235" s="6" t="inlineStr">
        <is>
          <t>Ocean</t>
        </is>
      </c>
      <c r="J235" s="26" t="n">
        <v>46064</v>
      </c>
      <c r="K235" s="26" t="n">
        <v>46063</v>
      </c>
      <c r="L235" s="6" t="n">
        <v>6</v>
      </c>
      <c r="M235" s="6" t="inlineStr">
        <is>
          <t>N</t>
        </is>
      </c>
      <c r="N235" s="6" t="inlineStr">
        <is>
          <t>Delivered</t>
        </is>
      </c>
      <c r="O235" s="6">
        <f>IF(K235="",0,K235-E235)</f>
        <v/>
      </c>
      <c r="P235" s="6">
        <f>IF(N235&lt;&gt;"Delivered","",IF(K235&lt;=J235,1,0))</f>
        <v/>
      </c>
      <c r="Q235" s="6">
        <f>IFERROR(INDEX(Raw_Suppliers!$C$2:$C$4,MATCH(B235,Raw_Suppliers!$A$2:$A$4,0)),"")</f>
        <v/>
      </c>
      <c r="R235" s="6">
        <f>Q235&amp;"|"&amp;D235</f>
        <v/>
      </c>
      <c r="S235" s="28">
        <f>IFERROR(INDEX(Raw_Tariff_Ref!$H$2:$H$10,MATCH(R235,Raw_Tariff_Ref!$I$2:$I$10,0)),0)</f>
        <v/>
      </c>
      <c r="T235" s="27">
        <f>IF(G235="","",G235*F235)</f>
        <v/>
      </c>
      <c r="U235" s="27">
        <f>IF(G235="","",G235*(1+S235))</f>
        <v/>
      </c>
      <c r="V235" s="27">
        <f>IF(U235="","",U235*F235)</f>
        <v/>
      </c>
      <c r="W235" s="6">
        <f>IF(COUNTIF($A$2:A235,A235)=1,1,0)</f>
        <v/>
      </c>
    </row>
    <row r="236">
      <c r="A236" s="6" t="inlineStr">
        <is>
          <t>PO-1162</t>
        </is>
      </c>
      <c r="B236" s="6" t="inlineStr">
        <is>
          <t>SUP-001</t>
        </is>
      </c>
      <c r="C236" s="6" t="inlineStr">
        <is>
          <t>PDU / MEP Equipment</t>
        </is>
      </c>
      <c r="D236" s="6" t="n">
        <v>8537.1</v>
      </c>
      <c r="E236" s="26" t="n">
        <v>46035</v>
      </c>
      <c r="F236" s="6" t="n">
        <v>5</v>
      </c>
      <c r="G236" s="27" t="n">
        <v>3155.96</v>
      </c>
      <c r="H236" s="6" t="inlineStr">
        <is>
          <t>FOB</t>
        </is>
      </c>
      <c r="I236" s="6" t="inlineStr">
        <is>
          <t>Air</t>
        </is>
      </c>
      <c r="J236" s="26" t="n">
        <v>46051</v>
      </c>
      <c r="K236" s="26" t="n">
        <v>46051</v>
      </c>
      <c r="L236" s="6" t="n">
        <v>0</v>
      </c>
      <c r="M236" s="6" t="inlineStr">
        <is>
          <t>N</t>
        </is>
      </c>
      <c r="N236" s="6" t="inlineStr">
        <is>
          <t>Delivered</t>
        </is>
      </c>
      <c r="O236" s="6">
        <f>IF(K236="",0,K236-E236)</f>
        <v/>
      </c>
      <c r="P236" s="6">
        <f>IF(N236&lt;&gt;"Delivered","",IF(K236&lt;=J236,1,0))</f>
        <v/>
      </c>
      <c r="Q236" s="6">
        <f>IFERROR(INDEX(Raw_Suppliers!$C$2:$C$4,MATCH(B236,Raw_Suppliers!$A$2:$A$4,0)),"")</f>
        <v/>
      </c>
      <c r="R236" s="6">
        <f>Q236&amp;"|"&amp;D236</f>
        <v/>
      </c>
      <c r="S236" s="28">
        <f>IFERROR(INDEX(Raw_Tariff_Ref!$H$2:$H$10,MATCH(R236,Raw_Tariff_Ref!$I$2:$I$10,0)),0)</f>
        <v/>
      </c>
      <c r="T236" s="27">
        <f>IF(G236="","",G236*F236)</f>
        <v/>
      </c>
      <c r="U236" s="27">
        <f>IF(G236="","",G236*(1+S236))</f>
        <v/>
      </c>
      <c r="V236" s="27">
        <f>IF(U236="","",U236*F236)</f>
        <v/>
      </c>
      <c r="W236" s="6">
        <f>IF(COUNTIF($A$2:A236,A236)=1,1,0)</f>
        <v/>
      </c>
    </row>
    <row r="237">
      <c r="A237" s="6" t="inlineStr">
        <is>
          <t>PO-1137</t>
        </is>
      </c>
      <c r="B237" s="6" t="inlineStr">
        <is>
          <t>SUP-002</t>
        </is>
      </c>
      <c r="C237" s="6" t="inlineStr">
        <is>
          <t>Network Switches</t>
        </is>
      </c>
      <c r="D237" s="6" t="n">
        <v>8517.620000000001</v>
      </c>
      <c r="E237" s="26" t="n">
        <v>46035</v>
      </c>
      <c r="F237" s="6" t="n">
        <v>16</v>
      </c>
      <c r="G237" s="27" t="n">
        <v>4196.71</v>
      </c>
      <c r="H237" s="6" t="inlineStr">
        <is>
          <t>CIF</t>
        </is>
      </c>
      <c r="I237" s="6" t="inlineStr">
        <is>
          <t>Truck</t>
        </is>
      </c>
      <c r="J237" s="26" t="n">
        <v>46057</v>
      </c>
      <c r="K237" s="26" t="n">
        <v>46056</v>
      </c>
      <c r="L237" s="6" t="n">
        <v>3</v>
      </c>
      <c r="M237" s="6" t="inlineStr">
        <is>
          <t>N</t>
        </is>
      </c>
      <c r="N237" s="6" t="inlineStr">
        <is>
          <t>Delivered</t>
        </is>
      </c>
      <c r="O237" s="6">
        <f>IF(K237="",0,K237-E237)</f>
        <v/>
      </c>
      <c r="P237" s="6">
        <f>IF(N237&lt;&gt;"Delivered","",IF(K237&lt;=J237,1,0))</f>
        <v/>
      </c>
      <c r="Q237" s="6">
        <f>IFERROR(INDEX(Raw_Suppliers!$C$2:$C$4,MATCH(B237,Raw_Suppliers!$A$2:$A$4,0)),"")</f>
        <v/>
      </c>
      <c r="R237" s="6">
        <f>Q237&amp;"|"&amp;D237</f>
        <v/>
      </c>
      <c r="S237" s="28">
        <f>IFERROR(INDEX(Raw_Tariff_Ref!$H$2:$H$10,MATCH(R237,Raw_Tariff_Ref!$I$2:$I$10,0)),0)</f>
        <v/>
      </c>
      <c r="T237" s="27">
        <f>IF(G237="","",G237*F237)</f>
        <v/>
      </c>
      <c r="U237" s="27">
        <f>IF(G237="","",G237*(1+S237))</f>
        <v/>
      </c>
      <c r="V237" s="27">
        <f>IF(U237="","",U237*F237)</f>
        <v/>
      </c>
      <c r="W237" s="6">
        <f>IF(COUNTIF($A$2:A237,A237)=1,1,0)</f>
        <v/>
      </c>
    </row>
    <row r="238">
      <c r="A238" s="6" t="inlineStr">
        <is>
          <t>PO-1248</t>
        </is>
      </c>
      <c r="B238" s="6" t="inlineStr">
        <is>
          <t>SUP-001</t>
        </is>
      </c>
      <c r="C238" s="6" t="inlineStr">
        <is>
          <t>PDU / MEP Equipment</t>
        </is>
      </c>
      <c r="D238" s="6" t="n">
        <v>8537.1</v>
      </c>
      <c r="E238" s="26" t="n">
        <v>46036</v>
      </c>
      <c r="F238" s="6" t="n">
        <v>8</v>
      </c>
      <c r="G238" s="27" t="n">
        <v>3865.64</v>
      </c>
      <c r="H238" s="6" t="inlineStr">
        <is>
          <t>FOB</t>
        </is>
      </c>
      <c r="I238" s="6" t="inlineStr">
        <is>
          <t>Truck</t>
        </is>
      </c>
      <c r="J238" s="26" t="n">
        <v>46054</v>
      </c>
      <c r="K238" s="26" t="n">
        <v>46054</v>
      </c>
      <c r="L238" s="6" t="n">
        <v>1</v>
      </c>
      <c r="M238" s="6" t="inlineStr">
        <is>
          <t>N</t>
        </is>
      </c>
      <c r="N238" s="6" t="inlineStr">
        <is>
          <t>Delivered</t>
        </is>
      </c>
      <c r="O238" s="6">
        <f>IF(K238="",0,K238-E238)</f>
        <v/>
      </c>
      <c r="P238" s="6">
        <f>IF(N238&lt;&gt;"Delivered","",IF(K238&lt;=J238,1,0))</f>
        <v/>
      </c>
      <c r="Q238" s="6">
        <f>IFERROR(INDEX(Raw_Suppliers!$C$2:$C$4,MATCH(B238,Raw_Suppliers!$A$2:$A$4,0)),"")</f>
        <v/>
      </c>
      <c r="R238" s="6">
        <f>Q238&amp;"|"&amp;D238</f>
        <v/>
      </c>
      <c r="S238" s="28">
        <f>IFERROR(INDEX(Raw_Tariff_Ref!$H$2:$H$10,MATCH(R238,Raw_Tariff_Ref!$I$2:$I$10,0)),0)</f>
        <v/>
      </c>
      <c r="T238" s="27">
        <f>IF(G238="","",G238*F238)</f>
        <v/>
      </c>
      <c r="U238" s="27">
        <f>IF(G238="","",G238*(1+S238))</f>
        <v/>
      </c>
      <c r="V238" s="27">
        <f>IF(U238="","",U238*F238)</f>
        <v/>
      </c>
      <c r="W238" s="6">
        <f>IF(COUNTIF($A$2:A238,A238)=1,1,0)</f>
        <v/>
      </c>
    </row>
    <row r="239">
      <c r="A239" s="6" t="inlineStr">
        <is>
          <t>PO-1182</t>
        </is>
      </c>
      <c r="B239" s="6" t="inlineStr">
        <is>
          <t>SUP-001</t>
        </is>
      </c>
      <c r="C239" s="6" t="inlineStr">
        <is>
          <t>PDU / MEP Equipment</t>
        </is>
      </c>
      <c r="D239" s="6" t="n">
        <v>8537.1</v>
      </c>
      <c r="E239" s="26" t="n">
        <v>46037</v>
      </c>
      <c r="F239" s="6" t="n">
        <v>2</v>
      </c>
      <c r="G239" s="27" t="n">
        <v>3830.98</v>
      </c>
      <c r="H239" s="6" t="inlineStr">
        <is>
          <t>FOB</t>
        </is>
      </c>
      <c r="I239" s="6" t="inlineStr">
        <is>
          <t>Air</t>
        </is>
      </c>
      <c r="J239" s="26" t="n">
        <v>46050</v>
      </c>
      <c r="K239" s="26" t="n">
        <v>46049</v>
      </c>
      <c r="L239" s="6" t="n">
        <v>1</v>
      </c>
      <c r="M239" s="6" t="inlineStr">
        <is>
          <t>N</t>
        </is>
      </c>
      <c r="N239" s="6" t="inlineStr">
        <is>
          <t>Delivered</t>
        </is>
      </c>
      <c r="O239" s="6">
        <f>IF(K239="",0,K239-E239)</f>
        <v/>
      </c>
      <c r="P239" s="6">
        <f>IF(N239&lt;&gt;"Delivered","",IF(K239&lt;=J239,1,0))</f>
        <v/>
      </c>
      <c r="Q239" s="6">
        <f>IFERROR(INDEX(Raw_Suppliers!$C$2:$C$4,MATCH(B239,Raw_Suppliers!$A$2:$A$4,0)),"")</f>
        <v/>
      </c>
      <c r="R239" s="6">
        <f>Q239&amp;"|"&amp;D239</f>
        <v/>
      </c>
      <c r="S239" s="28">
        <f>IFERROR(INDEX(Raw_Tariff_Ref!$H$2:$H$10,MATCH(R239,Raw_Tariff_Ref!$I$2:$I$10,0)),0)</f>
        <v/>
      </c>
      <c r="T239" s="27">
        <f>IF(G239="","",G239*F239)</f>
        <v/>
      </c>
      <c r="U239" s="27">
        <f>IF(G239="","",G239*(1+S239))</f>
        <v/>
      </c>
      <c r="V239" s="27">
        <f>IF(U239="","",U239*F239)</f>
        <v/>
      </c>
      <c r="W239" s="6">
        <f>IF(COUNTIF($A$2:A239,A239)=1,1,0)</f>
        <v/>
      </c>
    </row>
    <row r="240">
      <c r="A240" s="6" t="inlineStr">
        <is>
          <t>PO-1259</t>
        </is>
      </c>
      <c r="B240" s="6" t="inlineStr">
        <is>
          <t>SUP-002</t>
        </is>
      </c>
      <c r="C240" s="6" t="inlineStr">
        <is>
          <t>Network Switches</t>
        </is>
      </c>
      <c r="D240" s="6" t="n">
        <v>8517.620000000001</v>
      </c>
      <c r="E240" s="26" t="n">
        <v>46037</v>
      </c>
      <c r="F240" s="6" t="n">
        <v>4</v>
      </c>
      <c r="G240" s="27" t="n">
        <v>5158.07</v>
      </c>
      <c r="H240" s="6" t="inlineStr">
        <is>
          <t>CIF</t>
        </is>
      </c>
      <c r="I240" s="6" t="inlineStr">
        <is>
          <t>Ocean</t>
        </is>
      </c>
      <c r="J240" s="26" t="n">
        <v>46054</v>
      </c>
      <c r="K240" s="26" t="n">
        <v>46053</v>
      </c>
      <c r="L240" s="6" t="n">
        <v>4</v>
      </c>
      <c r="M240" s="6" t="inlineStr">
        <is>
          <t>N</t>
        </is>
      </c>
      <c r="N240" s="6" t="inlineStr">
        <is>
          <t>Delivered</t>
        </is>
      </c>
      <c r="O240" s="6">
        <f>IF(K240="",0,K240-E240)</f>
        <v/>
      </c>
      <c r="P240" s="6">
        <f>IF(N240&lt;&gt;"Delivered","",IF(K240&lt;=J240,1,0))</f>
        <v/>
      </c>
      <c r="Q240" s="6">
        <f>IFERROR(INDEX(Raw_Suppliers!$C$2:$C$4,MATCH(B240,Raw_Suppliers!$A$2:$A$4,0)),"")</f>
        <v/>
      </c>
      <c r="R240" s="6">
        <f>Q240&amp;"|"&amp;D240</f>
        <v/>
      </c>
      <c r="S240" s="28">
        <f>IFERROR(INDEX(Raw_Tariff_Ref!$H$2:$H$10,MATCH(R240,Raw_Tariff_Ref!$I$2:$I$10,0)),0)</f>
        <v/>
      </c>
      <c r="T240" s="27">
        <f>IF(G240="","",G240*F240)</f>
        <v/>
      </c>
      <c r="U240" s="27">
        <f>IF(G240="","",G240*(1+S240))</f>
        <v/>
      </c>
      <c r="V240" s="27">
        <f>IF(U240="","",U240*F240)</f>
        <v/>
      </c>
      <c r="W240" s="6">
        <f>IF(COUNTIF($A$2:A240,A240)=1,1,0)</f>
        <v/>
      </c>
    </row>
    <row r="241">
      <c r="A241" s="6" t="inlineStr">
        <is>
          <t>PO-1184</t>
        </is>
      </c>
      <c r="B241" s="6" t="inlineStr">
        <is>
          <t>SUP-003</t>
        </is>
      </c>
      <c r="C241" s="6" t="inlineStr">
        <is>
          <t>Network Switches</t>
        </is>
      </c>
      <c r="D241" s="6" t="n">
        <v>8517.620000000001</v>
      </c>
      <c r="E241" s="26" t="n">
        <v>46037</v>
      </c>
      <c r="F241" s="6" t="n">
        <v>40</v>
      </c>
      <c r="G241" s="27" t="n">
        <v>2054.69</v>
      </c>
      <c r="H241" s="6" t="inlineStr">
        <is>
          <t>CIF</t>
        </is>
      </c>
      <c r="I241" s="6" t="inlineStr">
        <is>
          <t>Ocean</t>
        </is>
      </c>
      <c r="J241" s="26" t="n">
        <v>46078</v>
      </c>
      <c r="K241" s="26" t="n">
        <v>46092</v>
      </c>
      <c r="L241" s="6" t="n">
        <v>3</v>
      </c>
      <c r="M241" s="6" t="inlineStr">
        <is>
          <t>N</t>
        </is>
      </c>
      <c r="N241" s="6" t="inlineStr">
        <is>
          <t>Delivered</t>
        </is>
      </c>
      <c r="O241" s="6">
        <f>IF(K241="",0,K241-E241)</f>
        <v/>
      </c>
      <c r="P241" s="6">
        <f>IF(N241&lt;&gt;"Delivered","",IF(K241&lt;=J241,1,0))</f>
        <v/>
      </c>
      <c r="Q241" s="6">
        <f>IFERROR(INDEX(Raw_Suppliers!$C$2:$C$4,MATCH(B241,Raw_Suppliers!$A$2:$A$4,0)),"")</f>
        <v/>
      </c>
      <c r="R241" s="6">
        <f>Q241&amp;"|"&amp;D241</f>
        <v/>
      </c>
      <c r="S241" s="28">
        <f>IFERROR(INDEX(Raw_Tariff_Ref!$H$2:$H$10,MATCH(R241,Raw_Tariff_Ref!$I$2:$I$10,0)),0)</f>
        <v/>
      </c>
      <c r="T241" s="27">
        <f>IF(G241="","",G241*F241)</f>
        <v/>
      </c>
      <c r="U241" s="27">
        <f>IF(G241="","",G241*(1+S241))</f>
        <v/>
      </c>
      <c r="V241" s="27">
        <f>IF(U241="","",U241*F241)</f>
        <v/>
      </c>
      <c r="W241" s="6">
        <f>IF(COUNTIF($A$2:A241,A241)=1,1,0)</f>
        <v/>
      </c>
    </row>
    <row r="242">
      <c r="A242" s="6" t="inlineStr">
        <is>
          <t>PO-1163</t>
        </is>
      </c>
      <c r="B242" s="6" t="inlineStr">
        <is>
          <t>SUP-001</t>
        </is>
      </c>
      <c r="C242" s="6" t="inlineStr">
        <is>
          <t>GPU Servers</t>
        </is>
      </c>
      <c r="D242" s="6" t="n">
        <v>8471.5</v>
      </c>
      <c r="E242" s="26" t="n">
        <v>46038</v>
      </c>
      <c r="F242" s="6" t="n">
        <v>2</v>
      </c>
      <c r="G242" s="27" t="n">
        <v>23638.94</v>
      </c>
      <c r="H242" s="6" t="inlineStr">
        <is>
          <t>DDP</t>
        </is>
      </c>
      <c r="I242" s="6" t="inlineStr">
        <is>
          <t>Air</t>
        </is>
      </c>
      <c r="J242" s="26" t="n">
        <v>46045</v>
      </c>
      <c r="K242" s="26" t="n">
        <v>46045</v>
      </c>
      <c r="L242" s="6" t="n">
        <v>1</v>
      </c>
      <c r="M242" s="6" t="inlineStr">
        <is>
          <t>N</t>
        </is>
      </c>
      <c r="N242" s="6" t="inlineStr">
        <is>
          <t>Delivered</t>
        </is>
      </c>
      <c r="O242" s="6">
        <f>IF(K242="",0,K242-E242)</f>
        <v/>
      </c>
      <c r="P242" s="6">
        <f>IF(N242&lt;&gt;"Delivered","",IF(K242&lt;=J242,1,0))</f>
        <v/>
      </c>
      <c r="Q242" s="6">
        <f>IFERROR(INDEX(Raw_Suppliers!$C$2:$C$4,MATCH(B242,Raw_Suppliers!$A$2:$A$4,0)),"")</f>
        <v/>
      </c>
      <c r="R242" s="6">
        <f>Q242&amp;"|"&amp;D242</f>
        <v/>
      </c>
      <c r="S242" s="28">
        <f>IFERROR(INDEX(Raw_Tariff_Ref!$H$2:$H$10,MATCH(R242,Raw_Tariff_Ref!$I$2:$I$10,0)),0)</f>
        <v/>
      </c>
      <c r="T242" s="27">
        <f>IF(G242="","",G242*F242)</f>
        <v/>
      </c>
      <c r="U242" s="27">
        <f>IF(G242="","",G242*(1+S242))</f>
        <v/>
      </c>
      <c r="V242" s="27">
        <f>IF(U242="","",U242*F242)</f>
        <v/>
      </c>
      <c r="W242" s="6">
        <f>IF(COUNTIF($A$2:A242,A242)=1,1,0)</f>
        <v/>
      </c>
    </row>
    <row r="243">
      <c r="A243" s="6" t="inlineStr">
        <is>
          <t>PO-1204</t>
        </is>
      </c>
      <c r="B243" s="6" t="inlineStr">
        <is>
          <t>SUP-003</t>
        </is>
      </c>
      <c r="C243" s="6" t="inlineStr">
        <is>
          <t>Network Switches</t>
        </is>
      </c>
      <c r="D243" s="6" t="n">
        <v>8517.620000000001</v>
      </c>
      <c r="E243" s="26" t="n">
        <v>46039</v>
      </c>
      <c r="F243" s="6" t="n">
        <v>5</v>
      </c>
      <c r="G243" s="27" t="n">
        <v>3119.2</v>
      </c>
      <c r="H243" s="6" t="inlineStr">
        <is>
          <t>FOB</t>
        </is>
      </c>
      <c r="I243" s="6" t="inlineStr">
        <is>
          <t>Air</t>
        </is>
      </c>
      <c r="J243" s="26" t="n">
        <v>46059</v>
      </c>
      <c r="K243" s="26" t="n">
        <v>46057</v>
      </c>
      <c r="L243" s="6" t="n">
        <v>9</v>
      </c>
      <c r="M243" s="6" t="inlineStr">
        <is>
          <t>N</t>
        </is>
      </c>
      <c r="N243" s="6" t="inlineStr">
        <is>
          <t>Delivered</t>
        </is>
      </c>
      <c r="O243" s="6">
        <f>IF(K243="",0,K243-E243)</f>
        <v/>
      </c>
      <c r="P243" s="6">
        <f>IF(N243&lt;&gt;"Delivered","",IF(K243&lt;=J243,1,0))</f>
        <v/>
      </c>
      <c r="Q243" s="6">
        <f>IFERROR(INDEX(Raw_Suppliers!$C$2:$C$4,MATCH(B243,Raw_Suppliers!$A$2:$A$4,0)),"")</f>
        <v/>
      </c>
      <c r="R243" s="6">
        <f>Q243&amp;"|"&amp;D243</f>
        <v/>
      </c>
      <c r="S243" s="28">
        <f>IFERROR(INDEX(Raw_Tariff_Ref!$H$2:$H$10,MATCH(R243,Raw_Tariff_Ref!$I$2:$I$10,0)),0)</f>
        <v/>
      </c>
      <c r="T243" s="27">
        <f>IF(G243="","",G243*F243)</f>
        <v/>
      </c>
      <c r="U243" s="27">
        <f>IF(G243="","",G243*(1+S243))</f>
        <v/>
      </c>
      <c r="V243" s="27">
        <f>IF(U243="","",U243*F243)</f>
        <v/>
      </c>
      <c r="W243" s="6">
        <f>IF(COUNTIF($A$2:A243,A243)=1,1,0)</f>
        <v/>
      </c>
    </row>
    <row r="244">
      <c r="A244" s="6" t="inlineStr">
        <is>
          <t>PO-1298</t>
        </is>
      </c>
      <c r="B244" s="6" t="inlineStr">
        <is>
          <t>SUP-002</t>
        </is>
      </c>
      <c r="C244" s="6" t="inlineStr">
        <is>
          <t>Network Switches</t>
        </is>
      </c>
      <c r="D244" s="6" t="n">
        <v>8517.620000000001</v>
      </c>
      <c r="E244" s="26" t="n">
        <v>46040</v>
      </c>
      <c r="F244" s="6" t="n">
        <v>10</v>
      </c>
      <c r="G244" s="27" t="n">
        <v>3491.79</v>
      </c>
      <c r="H244" s="6" t="inlineStr">
        <is>
          <t>FOB</t>
        </is>
      </c>
      <c r="I244" s="6" t="inlineStr">
        <is>
          <t>Ocean</t>
        </is>
      </c>
      <c r="J244" s="26" t="n">
        <v>46055</v>
      </c>
      <c r="K244" s="26" t="n">
        <v>46055</v>
      </c>
      <c r="L244" s="6" t="n">
        <v>3</v>
      </c>
      <c r="M244" s="6" t="inlineStr">
        <is>
          <t>N</t>
        </is>
      </c>
      <c r="N244" s="6" t="inlineStr">
        <is>
          <t>Delivered</t>
        </is>
      </c>
      <c r="O244" s="6">
        <f>IF(K244="",0,K244-E244)</f>
        <v/>
      </c>
      <c r="P244" s="6">
        <f>IF(N244&lt;&gt;"Delivered","",IF(K244&lt;=J244,1,0))</f>
        <v/>
      </c>
      <c r="Q244" s="6">
        <f>IFERROR(INDEX(Raw_Suppliers!$C$2:$C$4,MATCH(B244,Raw_Suppliers!$A$2:$A$4,0)),"")</f>
        <v/>
      </c>
      <c r="R244" s="6">
        <f>Q244&amp;"|"&amp;D244</f>
        <v/>
      </c>
      <c r="S244" s="28">
        <f>IFERROR(INDEX(Raw_Tariff_Ref!$H$2:$H$10,MATCH(R244,Raw_Tariff_Ref!$I$2:$I$10,0)),0)</f>
        <v/>
      </c>
      <c r="T244" s="27">
        <f>IF(G244="","",G244*F244)</f>
        <v/>
      </c>
      <c r="U244" s="27">
        <f>IF(G244="","",G244*(1+S244))</f>
        <v/>
      </c>
      <c r="V244" s="27">
        <f>IF(U244="","",U244*F244)</f>
        <v/>
      </c>
      <c r="W244" s="6">
        <f>IF(COUNTIF($A$2:A244,A244)=1,1,0)</f>
        <v/>
      </c>
    </row>
    <row r="245">
      <c r="A245" s="6" t="inlineStr">
        <is>
          <t>PO-1101</t>
        </is>
      </c>
      <c r="B245" s="6" t="inlineStr">
        <is>
          <t>SUP-002</t>
        </is>
      </c>
      <c r="C245" s="6" t="inlineStr">
        <is>
          <t>GPU Servers</t>
        </is>
      </c>
      <c r="D245" s="6" t="n">
        <v>8471.5</v>
      </c>
      <c r="E245" s="26" t="n">
        <v>46040</v>
      </c>
      <c r="F245" s="6" t="n">
        <v>10</v>
      </c>
      <c r="G245" s="27" t="n"/>
      <c r="H245" s="6" t="inlineStr">
        <is>
          <t>CIF</t>
        </is>
      </c>
      <c r="I245" s="6" t="inlineStr">
        <is>
          <t>Truck</t>
        </is>
      </c>
      <c r="J245" s="26" t="n">
        <v>46059</v>
      </c>
      <c r="K245" s="26" t="n">
        <v>46059</v>
      </c>
      <c r="L245" s="6" t="n">
        <v>2</v>
      </c>
      <c r="M245" s="6" t="inlineStr">
        <is>
          <t>N</t>
        </is>
      </c>
      <c r="N245" s="6" t="inlineStr">
        <is>
          <t>Delivered</t>
        </is>
      </c>
      <c r="O245" s="6">
        <f>IF(K245="",0,K245-E245)</f>
        <v/>
      </c>
      <c r="P245" s="6">
        <f>IF(N245&lt;&gt;"Delivered","",IF(K245&lt;=J245,1,0))</f>
        <v/>
      </c>
      <c r="Q245" s="6">
        <f>IFERROR(INDEX(Raw_Suppliers!$C$2:$C$4,MATCH(B245,Raw_Suppliers!$A$2:$A$4,0)),"")</f>
        <v/>
      </c>
      <c r="R245" s="6">
        <f>Q245&amp;"|"&amp;D245</f>
        <v/>
      </c>
      <c r="S245" s="28">
        <f>IFERROR(INDEX(Raw_Tariff_Ref!$H$2:$H$10,MATCH(R245,Raw_Tariff_Ref!$I$2:$I$10,0)),0)</f>
        <v/>
      </c>
      <c r="T245" s="27">
        <f>IF(G245="","",G245*F245)</f>
        <v/>
      </c>
      <c r="U245" s="27">
        <f>IF(G245="","",G245*(1+S245))</f>
        <v/>
      </c>
      <c r="V245" s="27">
        <f>IF(U245="","",U245*F245)</f>
        <v/>
      </c>
      <c r="W245" s="6">
        <f>IF(COUNTIF($A$2:A245,A245)=1,1,0)</f>
        <v/>
      </c>
    </row>
    <row r="246">
      <c r="A246" s="6" t="inlineStr">
        <is>
          <t>PO-1148</t>
        </is>
      </c>
      <c r="B246" s="6" t="inlineStr">
        <is>
          <t>SUP-002</t>
        </is>
      </c>
      <c r="C246" s="6" t="inlineStr">
        <is>
          <t>Network Switches</t>
        </is>
      </c>
      <c r="D246" s="6" t="n">
        <v>8517.620000000001</v>
      </c>
      <c r="E246" s="26" t="n">
        <v>46046</v>
      </c>
      <c r="F246" s="6" t="n">
        <v>4</v>
      </c>
      <c r="G246" s="27" t="n">
        <v>4253.38</v>
      </c>
      <c r="H246" s="6" t="inlineStr">
        <is>
          <t>CIF</t>
        </is>
      </c>
      <c r="I246" s="6" t="inlineStr">
        <is>
          <t>Truck</t>
        </is>
      </c>
      <c r="J246" s="26" t="n">
        <v>46062</v>
      </c>
      <c r="K246" s="26" t="n">
        <v>46061</v>
      </c>
      <c r="L246" s="6" t="n">
        <v>2</v>
      </c>
      <c r="M246" s="6" t="inlineStr">
        <is>
          <t>N</t>
        </is>
      </c>
      <c r="N246" s="6" t="inlineStr">
        <is>
          <t>Delivered</t>
        </is>
      </c>
      <c r="O246" s="6">
        <f>IF(K246="",0,K246-E246)</f>
        <v/>
      </c>
      <c r="P246" s="6">
        <f>IF(N246&lt;&gt;"Delivered","",IF(K246&lt;=J246,1,0))</f>
        <v/>
      </c>
      <c r="Q246" s="6">
        <f>IFERROR(INDEX(Raw_Suppliers!$C$2:$C$4,MATCH(B246,Raw_Suppliers!$A$2:$A$4,0)),"")</f>
        <v/>
      </c>
      <c r="R246" s="6">
        <f>Q246&amp;"|"&amp;D246</f>
        <v/>
      </c>
      <c r="S246" s="28">
        <f>IFERROR(INDEX(Raw_Tariff_Ref!$H$2:$H$10,MATCH(R246,Raw_Tariff_Ref!$I$2:$I$10,0)),0)</f>
        <v/>
      </c>
      <c r="T246" s="27">
        <f>IF(G246="","",G246*F246)</f>
        <v/>
      </c>
      <c r="U246" s="27">
        <f>IF(G246="","",G246*(1+S246))</f>
        <v/>
      </c>
      <c r="V246" s="27">
        <f>IF(U246="","",U246*F246)</f>
        <v/>
      </c>
      <c r="W246" s="6">
        <f>IF(COUNTIF($A$2:A246,A246)=1,1,0)</f>
        <v/>
      </c>
    </row>
    <row r="247">
      <c r="A247" s="6" t="inlineStr">
        <is>
          <t>PO-1328</t>
        </is>
      </c>
      <c r="B247" s="6" t="inlineStr">
        <is>
          <t>SUP-001</t>
        </is>
      </c>
      <c r="C247" s="6" t="inlineStr">
        <is>
          <t>GPU Servers</t>
        </is>
      </c>
      <c r="D247" s="6" t="n">
        <v>8471.5</v>
      </c>
      <c r="E247" s="26" t="n">
        <v>46047</v>
      </c>
      <c r="F247" s="6" t="n">
        <v>25</v>
      </c>
      <c r="G247" s="27" t="n">
        <v>22491.18</v>
      </c>
      <c r="H247" s="6" t="inlineStr">
        <is>
          <t>FOB</t>
        </is>
      </c>
      <c r="I247" s="6" t="inlineStr">
        <is>
          <t>Air</t>
        </is>
      </c>
      <c r="J247" s="26" t="n">
        <v>46060</v>
      </c>
      <c r="K247" s="26" t="n">
        <v>46058</v>
      </c>
      <c r="L247" s="6" t="n">
        <v>1</v>
      </c>
      <c r="M247" s="6" t="inlineStr">
        <is>
          <t>N</t>
        </is>
      </c>
      <c r="N247" s="6" t="inlineStr">
        <is>
          <t>Delivered</t>
        </is>
      </c>
      <c r="O247" s="6">
        <f>IF(K247="",0,K247-E247)</f>
        <v/>
      </c>
      <c r="P247" s="6">
        <f>IF(N247&lt;&gt;"Delivered","",IF(K247&lt;=J247,1,0))</f>
        <v/>
      </c>
      <c r="Q247" s="6">
        <f>IFERROR(INDEX(Raw_Suppliers!$C$2:$C$4,MATCH(B247,Raw_Suppliers!$A$2:$A$4,0)),"")</f>
        <v/>
      </c>
      <c r="R247" s="6">
        <f>Q247&amp;"|"&amp;D247</f>
        <v/>
      </c>
      <c r="S247" s="28">
        <f>IFERROR(INDEX(Raw_Tariff_Ref!$H$2:$H$10,MATCH(R247,Raw_Tariff_Ref!$I$2:$I$10,0)),0)</f>
        <v/>
      </c>
      <c r="T247" s="27">
        <f>IF(G247="","",G247*F247)</f>
        <v/>
      </c>
      <c r="U247" s="27">
        <f>IF(G247="","",G247*(1+S247))</f>
        <v/>
      </c>
      <c r="V247" s="27">
        <f>IF(U247="","",U247*F247)</f>
        <v/>
      </c>
      <c r="W247" s="6">
        <f>IF(COUNTIF($A$2:A247,A247)=1,1,0)</f>
        <v/>
      </c>
    </row>
    <row r="248">
      <c r="A248" s="6" t="inlineStr">
        <is>
          <t>PO-1218</t>
        </is>
      </c>
      <c r="B248" s="6" t="inlineStr">
        <is>
          <t>SUP-002</t>
        </is>
      </c>
      <c r="C248" s="6" t="inlineStr">
        <is>
          <t>GPU Servers</t>
        </is>
      </c>
      <c r="D248" s="6" t="n">
        <v>8471.5</v>
      </c>
      <c r="E248" s="26" t="n">
        <v>46048</v>
      </c>
      <c r="F248" s="6" t="n">
        <v>20</v>
      </c>
      <c r="G248" s="27" t="n">
        <v>19724.63</v>
      </c>
      <c r="H248" s="6" t="inlineStr">
        <is>
          <t>FOB</t>
        </is>
      </c>
      <c r="I248" s="6" t="inlineStr">
        <is>
          <t>Ocean</t>
        </is>
      </c>
      <c r="J248" s="26" t="n">
        <v>46066</v>
      </c>
      <c r="K248" s="26" t="n">
        <v>46066</v>
      </c>
      <c r="L248" s="6" t="n">
        <v>2</v>
      </c>
      <c r="M248" s="6" t="inlineStr">
        <is>
          <t>N</t>
        </is>
      </c>
      <c r="N248" s="6" t="inlineStr">
        <is>
          <t>Delivered</t>
        </is>
      </c>
      <c r="O248" s="6">
        <f>IF(K248="",0,K248-E248)</f>
        <v/>
      </c>
      <c r="P248" s="6">
        <f>IF(N248&lt;&gt;"Delivered","",IF(K248&lt;=J248,1,0))</f>
        <v/>
      </c>
      <c r="Q248" s="6">
        <f>IFERROR(INDEX(Raw_Suppliers!$C$2:$C$4,MATCH(B248,Raw_Suppliers!$A$2:$A$4,0)),"")</f>
        <v/>
      </c>
      <c r="R248" s="6">
        <f>Q248&amp;"|"&amp;D248</f>
        <v/>
      </c>
      <c r="S248" s="28">
        <f>IFERROR(INDEX(Raw_Tariff_Ref!$H$2:$H$10,MATCH(R248,Raw_Tariff_Ref!$I$2:$I$10,0)),0)</f>
        <v/>
      </c>
      <c r="T248" s="27">
        <f>IF(G248="","",G248*F248)</f>
        <v/>
      </c>
      <c r="U248" s="27">
        <f>IF(G248="","",G248*(1+S248))</f>
        <v/>
      </c>
      <c r="V248" s="27">
        <f>IF(U248="","",U248*F248)</f>
        <v/>
      </c>
      <c r="W248" s="6">
        <f>IF(COUNTIF($A$2:A248,A248)=1,1,0)</f>
        <v/>
      </c>
    </row>
    <row r="249">
      <c r="A249" s="6" t="inlineStr">
        <is>
          <t>PO-1322</t>
        </is>
      </c>
      <c r="B249" s="6" t="inlineStr">
        <is>
          <t>SUP-003</t>
        </is>
      </c>
      <c r="C249" s="6" t="inlineStr">
        <is>
          <t>PDU / MEP Equipment</t>
        </is>
      </c>
      <c r="D249" s="6" t="n">
        <v>8537.1</v>
      </c>
      <c r="E249" s="26" t="n">
        <v>46050</v>
      </c>
      <c r="F249" s="6" t="n">
        <v>10</v>
      </c>
      <c r="G249" s="27" t="n">
        <v>2526.01</v>
      </c>
      <c r="H249" s="6" t="inlineStr">
        <is>
          <t>CIF</t>
        </is>
      </c>
      <c r="I249" s="6" t="inlineStr">
        <is>
          <t>Ocean</t>
        </is>
      </c>
      <c r="J249" s="26" t="n">
        <v>46087</v>
      </c>
      <c r="K249" s="26" t="n">
        <v>46087</v>
      </c>
      <c r="L249" s="6" t="n">
        <v>12</v>
      </c>
      <c r="M249" s="6" t="inlineStr">
        <is>
          <t>N</t>
        </is>
      </c>
      <c r="N249" s="6" t="inlineStr">
        <is>
          <t>Delivered</t>
        </is>
      </c>
      <c r="O249" s="6">
        <f>IF(K249="",0,K249-E249)</f>
        <v/>
      </c>
      <c r="P249" s="6">
        <f>IF(N249&lt;&gt;"Delivered","",IF(K249&lt;=J249,1,0))</f>
        <v/>
      </c>
      <c r="Q249" s="6">
        <f>IFERROR(INDEX(Raw_Suppliers!$C$2:$C$4,MATCH(B249,Raw_Suppliers!$A$2:$A$4,0)),"")</f>
        <v/>
      </c>
      <c r="R249" s="6">
        <f>Q249&amp;"|"&amp;D249</f>
        <v/>
      </c>
      <c r="S249" s="28">
        <f>IFERROR(INDEX(Raw_Tariff_Ref!$H$2:$H$10,MATCH(R249,Raw_Tariff_Ref!$I$2:$I$10,0)),0)</f>
        <v/>
      </c>
      <c r="T249" s="27">
        <f>IF(G249="","",G249*F249)</f>
        <v/>
      </c>
      <c r="U249" s="27">
        <f>IF(G249="","",G249*(1+S249))</f>
        <v/>
      </c>
      <c r="V249" s="27">
        <f>IF(U249="","",U249*F249)</f>
        <v/>
      </c>
      <c r="W249" s="6">
        <f>IF(COUNTIF($A$2:A249,A249)=1,1,0)</f>
        <v/>
      </c>
    </row>
    <row r="250">
      <c r="A250" s="6" t="inlineStr">
        <is>
          <t>PO-1226</t>
        </is>
      </c>
      <c r="B250" s="6" t="inlineStr">
        <is>
          <t>SUP-001</t>
        </is>
      </c>
      <c r="C250" s="6" t="inlineStr">
        <is>
          <t>GPU Servers</t>
        </is>
      </c>
      <c r="D250" s="6" t="n">
        <v>8471.5</v>
      </c>
      <c r="E250" s="26" t="n">
        <v>46051</v>
      </c>
      <c r="F250" s="6" t="n">
        <v>20</v>
      </c>
      <c r="G250" s="27" t="n">
        <v>20357.17</v>
      </c>
      <c r="H250" s="6" t="inlineStr">
        <is>
          <t>DDP</t>
        </is>
      </c>
      <c r="I250" s="6" t="inlineStr">
        <is>
          <t>Air</t>
        </is>
      </c>
      <c r="J250" s="26" t="n">
        <v>46064</v>
      </c>
      <c r="K250" s="26" t="n">
        <v>46062</v>
      </c>
      <c r="L250" s="6" t="n">
        <v>1</v>
      </c>
      <c r="M250" s="6" t="inlineStr">
        <is>
          <t>N</t>
        </is>
      </c>
      <c r="N250" s="6" t="inlineStr">
        <is>
          <t>Delivered</t>
        </is>
      </c>
      <c r="O250" s="6">
        <f>IF(K250="",0,K250-E250)</f>
        <v/>
      </c>
      <c r="P250" s="6">
        <f>IF(N250&lt;&gt;"Delivered","",IF(K250&lt;=J250,1,0))</f>
        <v/>
      </c>
      <c r="Q250" s="6">
        <f>IFERROR(INDEX(Raw_Suppliers!$C$2:$C$4,MATCH(B250,Raw_Suppliers!$A$2:$A$4,0)),"")</f>
        <v/>
      </c>
      <c r="R250" s="6">
        <f>Q250&amp;"|"&amp;D250</f>
        <v/>
      </c>
      <c r="S250" s="28">
        <f>IFERROR(INDEX(Raw_Tariff_Ref!$H$2:$H$10,MATCH(R250,Raw_Tariff_Ref!$I$2:$I$10,0)),0)</f>
        <v/>
      </c>
      <c r="T250" s="27">
        <f>IF(G250="","",G250*F250)</f>
        <v/>
      </c>
      <c r="U250" s="27">
        <f>IF(G250="","",G250*(1+S250))</f>
        <v/>
      </c>
      <c r="V250" s="27">
        <f>IF(U250="","",U250*F250)</f>
        <v/>
      </c>
      <c r="W250" s="6">
        <f>IF(COUNTIF($A$2:A250,A250)=1,1,0)</f>
        <v/>
      </c>
    </row>
    <row r="251">
      <c r="A251" s="6" t="inlineStr">
        <is>
          <t>PO-1022</t>
        </is>
      </c>
      <c r="B251" s="6" t="inlineStr">
        <is>
          <t>SUP-003</t>
        </is>
      </c>
      <c r="C251" s="6" t="inlineStr">
        <is>
          <t>PDU / MEP Equipment</t>
        </is>
      </c>
      <c r="D251" s="6" t="n">
        <v>8537.1</v>
      </c>
      <c r="E251" s="26" t="n">
        <v>46051</v>
      </c>
      <c r="F251" s="6" t="n">
        <v>10</v>
      </c>
      <c r="G251" s="27" t="n">
        <v>2563.5</v>
      </c>
      <c r="H251" s="6" t="inlineStr">
        <is>
          <t>FOB</t>
        </is>
      </c>
      <c r="I251" s="6" t="inlineStr">
        <is>
          <t>Air</t>
        </is>
      </c>
      <c r="J251" s="26" t="n">
        <v>46073</v>
      </c>
      <c r="K251" s="26" t="n">
        <v>46072</v>
      </c>
      <c r="L251" s="6" t="n">
        <v>9</v>
      </c>
      <c r="M251" s="6" t="inlineStr">
        <is>
          <t>N</t>
        </is>
      </c>
      <c r="N251" s="6" t="inlineStr">
        <is>
          <t>Delivered</t>
        </is>
      </c>
      <c r="O251" s="6">
        <f>IF(K251="",0,K251-E251)</f>
        <v/>
      </c>
      <c r="P251" s="6">
        <f>IF(N251&lt;&gt;"Delivered","",IF(K251&lt;=J251,1,0))</f>
        <v/>
      </c>
      <c r="Q251" s="6">
        <f>IFERROR(INDEX(Raw_Suppliers!$C$2:$C$4,MATCH(B251,Raw_Suppliers!$A$2:$A$4,0)),"")</f>
        <v/>
      </c>
      <c r="R251" s="6">
        <f>Q251&amp;"|"&amp;D251</f>
        <v/>
      </c>
      <c r="S251" s="28">
        <f>IFERROR(INDEX(Raw_Tariff_Ref!$H$2:$H$10,MATCH(R251,Raw_Tariff_Ref!$I$2:$I$10,0)),0)</f>
        <v/>
      </c>
      <c r="T251" s="27">
        <f>IF(G251="","",G251*F251)</f>
        <v/>
      </c>
      <c r="U251" s="27">
        <f>IF(G251="","",G251*(1+S251))</f>
        <v/>
      </c>
      <c r="V251" s="27">
        <f>IF(U251="","",U251*F251)</f>
        <v/>
      </c>
      <c r="W251" s="6">
        <f>IF(COUNTIF($A$2:A251,A251)=1,1,0)</f>
        <v/>
      </c>
    </row>
    <row r="252">
      <c r="A252" s="6" t="inlineStr">
        <is>
          <t>PO-1089</t>
        </is>
      </c>
      <c r="B252" s="6" t="inlineStr">
        <is>
          <t>SUP-003</t>
        </is>
      </c>
      <c r="C252" s="6" t="inlineStr">
        <is>
          <t>Network Switches</t>
        </is>
      </c>
      <c r="D252" s="6" t="n">
        <v>8517.620000000001</v>
      </c>
      <c r="E252" s="26" t="n">
        <v>46052</v>
      </c>
      <c r="F252" s="6" t="n">
        <v>25</v>
      </c>
      <c r="G252" s="27" t="n">
        <v>2423.81</v>
      </c>
      <c r="H252" s="6" t="inlineStr">
        <is>
          <t>EXW</t>
        </is>
      </c>
      <c r="I252" s="6" t="inlineStr">
        <is>
          <t>Ocean</t>
        </is>
      </c>
      <c r="J252" s="26" t="n">
        <v>46093</v>
      </c>
      <c r="K252" s="26" t="n">
        <v>46126</v>
      </c>
      <c r="L252" s="6" t="n">
        <v>7</v>
      </c>
      <c r="M252" s="6" t="inlineStr">
        <is>
          <t>Y</t>
        </is>
      </c>
      <c r="N252" s="6" t="inlineStr">
        <is>
          <t>Delivered</t>
        </is>
      </c>
      <c r="O252" s="6">
        <f>IF(K252="",0,K252-E252)</f>
        <v/>
      </c>
      <c r="P252" s="6">
        <f>IF(N252&lt;&gt;"Delivered","",IF(K252&lt;=J252,1,0))</f>
        <v/>
      </c>
      <c r="Q252" s="6">
        <f>IFERROR(INDEX(Raw_Suppliers!$C$2:$C$4,MATCH(B252,Raw_Suppliers!$A$2:$A$4,0)),"")</f>
        <v/>
      </c>
      <c r="R252" s="6">
        <f>Q252&amp;"|"&amp;D252</f>
        <v/>
      </c>
      <c r="S252" s="28">
        <f>IFERROR(INDEX(Raw_Tariff_Ref!$H$2:$H$10,MATCH(R252,Raw_Tariff_Ref!$I$2:$I$10,0)),0)</f>
        <v/>
      </c>
      <c r="T252" s="27">
        <f>IF(G252="","",G252*F252)</f>
        <v/>
      </c>
      <c r="U252" s="27">
        <f>IF(G252="","",G252*(1+S252))</f>
        <v/>
      </c>
      <c r="V252" s="27">
        <f>IF(U252="","",U252*F252)</f>
        <v/>
      </c>
      <c r="W252" s="6">
        <f>IF(COUNTIF($A$2:A252,A252)=1,1,0)</f>
        <v/>
      </c>
    </row>
    <row r="253">
      <c r="A253" s="6" t="inlineStr">
        <is>
          <t>PO-1035</t>
        </is>
      </c>
      <c r="B253" s="6" t="inlineStr">
        <is>
          <t>SUP-001</t>
        </is>
      </c>
      <c r="C253" s="6" t="inlineStr">
        <is>
          <t>GPU Servers</t>
        </is>
      </c>
      <c r="D253" s="6" t="n">
        <v>8471.5</v>
      </c>
      <c r="E253" s="26" t="n">
        <v>46054</v>
      </c>
      <c r="F253" s="6" t="n">
        <v>8</v>
      </c>
      <c r="G253" s="27" t="n">
        <v>18944.27</v>
      </c>
      <c r="H253" s="6" t="inlineStr">
        <is>
          <t>DDP</t>
        </is>
      </c>
      <c r="I253" s="6" t="inlineStr">
        <is>
          <t>Air</t>
        </is>
      </c>
      <c r="J253" s="26" t="n">
        <v>46068</v>
      </c>
      <c r="K253" s="26" t="n">
        <v>46067</v>
      </c>
      <c r="L253" s="6" t="n">
        <v>1</v>
      </c>
      <c r="M253" s="6" t="inlineStr">
        <is>
          <t>N</t>
        </is>
      </c>
      <c r="N253" s="6" t="inlineStr">
        <is>
          <t>Delivered</t>
        </is>
      </c>
      <c r="O253" s="6">
        <f>IF(K253="",0,K253-E253)</f>
        <v/>
      </c>
      <c r="P253" s="6">
        <f>IF(N253&lt;&gt;"Delivered","",IF(K253&lt;=J253,1,0))</f>
        <v/>
      </c>
      <c r="Q253" s="6">
        <f>IFERROR(INDEX(Raw_Suppliers!$C$2:$C$4,MATCH(B253,Raw_Suppliers!$A$2:$A$4,0)),"")</f>
        <v/>
      </c>
      <c r="R253" s="6">
        <f>Q253&amp;"|"&amp;D253</f>
        <v/>
      </c>
      <c r="S253" s="28">
        <f>IFERROR(INDEX(Raw_Tariff_Ref!$H$2:$H$10,MATCH(R253,Raw_Tariff_Ref!$I$2:$I$10,0)),0)</f>
        <v/>
      </c>
      <c r="T253" s="27">
        <f>IF(G253="","",G253*F253)</f>
        <v/>
      </c>
      <c r="U253" s="27">
        <f>IF(G253="","",G253*(1+S253))</f>
        <v/>
      </c>
      <c r="V253" s="27">
        <f>IF(U253="","",U253*F253)</f>
        <v/>
      </c>
      <c r="W253" s="6">
        <f>IF(COUNTIF($A$2:A253,A253)=1,1,0)</f>
        <v/>
      </c>
    </row>
    <row r="254">
      <c r="A254" s="6" t="inlineStr">
        <is>
          <t>PO-1138</t>
        </is>
      </c>
      <c r="B254" s="6" t="inlineStr">
        <is>
          <t>SUP-001</t>
        </is>
      </c>
      <c r="C254" s="6" t="inlineStr">
        <is>
          <t>GPU Servers</t>
        </is>
      </c>
      <c r="D254" s="6" t="n">
        <v>8471.5</v>
      </c>
      <c r="E254" s="26" t="n">
        <v>46058</v>
      </c>
      <c r="F254" s="6" t="n">
        <v>40</v>
      </c>
      <c r="G254" s="27" t="n">
        <v>22237.34</v>
      </c>
      <c r="H254" s="6" t="inlineStr">
        <is>
          <t>DDP</t>
        </is>
      </c>
      <c r="I254" s="6" t="inlineStr">
        <is>
          <t>Truck</t>
        </is>
      </c>
      <c r="J254" s="26" t="n">
        <v>46067</v>
      </c>
      <c r="K254" s="26" t="n">
        <v>46067</v>
      </c>
      <c r="L254" s="6" t="n">
        <v>0</v>
      </c>
      <c r="M254" s="6" t="inlineStr">
        <is>
          <t>N</t>
        </is>
      </c>
      <c r="N254" s="6" t="inlineStr">
        <is>
          <t>Delivered</t>
        </is>
      </c>
      <c r="O254" s="6">
        <f>IF(K254="",0,K254-E254)</f>
        <v/>
      </c>
      <c r="P254" s="6">
        <f>IF(N254&lt;&gt;"Delivered","",IF(K254&lt;=J254,1,0))</f>
        <v/>
      </c>
      <c r="Q254" s="6">
        <f>IFERROR(INDEX(Raw_Suppliers!$C$2:$C$4,MATCH(B254,Raw_Suppliers!$A$2:$A$4,0)),"")</f>
        <v/>
      </c>
      <c r="R254" s="6">
        <f>Q254&amp;"|"&amp;D254</f>
        <v/>
      </c>
      <c r="S254" s="28">
        <f>IFERROR(INDEX(Raw_Tariff_Ref!$H$2:$H$10,MATCH(R254,Raw_Tariff_Ref!$I$2:$I$10,0)),0)</f>
        <v/>
      </c>
      <c r="T254" s="27">
        <f>IF(G254="","",G254*F254)</f>
        <v/>
      </c>
      <c r="U254" s="27">
        <f>IF(G254="","",G254*(1+S254))</f>
        <v/>
      </c>
      <c r="V254" s="27">
        <f>IF(U254="","",U254*F254)</f>
        <v/>
      </c>
      <c r="W254" s="6">
        <f>IF(COUNTIF($A$2:A254,A254)=1,1,0)</f>
        <v/>
      </c>
    </row>
    <row r="255">
      <c r="A255" s="6" t="inlineStr">
        <is>
          <t>PO-1286</t>
        </is>
      </c>
      <c r="B255" s="6" t="inlineStr">
        <is>
          <t>SUP-003</t>
        </is>
      </c>
      <c r="C255" s="6" t="inlineStr">
        <is>
          <t>PDU / MEP Equipment</t>
        </is>
      </c>
      <c r="D255" s="6" t="n">
        <v>8537.1</v>
      </c>
      <c r="E255" s="26" t="n">
        <v>46059</v>
      </c>
      <c r="F255" s="6" t="n">
        <v>16</v>
      </c>
      <c r="G255" s="27" t="n">
        <v>1543.71</v>
      </c>
      <c r="H255" s="6" t="inlineStr">
        <is>
          <t>CIF</t>
        </is>
      </c>
      <c r="I255" s="6" t="inlineStr">
        <is>
          <t>Ocean</t>
        </is>
      </c>
      <c r="J255" s="26" t="n">
        <v>46087</v>
      </c>
      <c r="K255" s="26" t="n">
        <v>46125</v>
      </c>
      <c r="L255" s="6" t="n">
        <v>10</v>
      </c>
      <c r="M255" s="6" t="inlineStr">
        <is>
          <t>N</t>
        </is>
      </c>
      <c r="N255" s="6" t="inlineStr">
        <is>
          <t>Delivered</t>
        </is>
      </c>
      <c r="O255" s="6">
        <f>IF(K255="",0,K255-E255)</f>
        <v/>
      </c>
      <c r="P255" s="6">
        <f>IF(N255&lt;&gt;"Delivered","",IF(K255&lt;=J255,1,0))</f>
        <v/>
      </c>
      <c r="Q255" s="6">
        <f>IFERROR(INDEX(Raw_Suppliers!$C$2:$C$4,MATCH(B255,Raw_Suppliers!$A$2:$A$4,0)),"")</f>
        <v/>
      </c>
      <c r="R255" s="6">
        <f>Q255&amp;"|"&amp;D255</f>
        <v/>
      </c>
      <c r="S255" s="28">
        <f>IFERROR(INDEX(Raw_Tariff_Ref!$H$2:$H$10,MATCH(R255,Raw_Tariff_Ref!$I$2:$I$10,0)),0)</f>
        <v/>
      </c>
      <c r="T255" s="27">
        <f>IF(G255="","",G255*F255)</f>
        <v/>
      </c>
      <c r="U255" s="27">
        <f>IF(G255="","",G255*(1+S255))</f>
        <v/>
      </c>
      <c r="V255" s="27">
        <f>IF(U255="","",U255*F255)</f>
        <v/>
      </c>
      <c r="W255" s="6">
        <f>IF(COUNTIF($A$2:A255,A255)=1,1,0)</f>
        <v/>
      </c>
    </row>
    <row r="256">
      <c r="A256" s="6" t="inlineStr">
        <is>
          <t>PO-1240</t>
        </is>
      </c>
      <c r="B256" s="6" t="inlineStr">
        <is>
          <t>SUP-002</t>
        </is>
      </c>
      <c r="C256" s="6" t="inlineStr">
        <is>
          <t>Network Switches</t>
        </is>
      </c>
      <c r="D256" s="6" t="n">
        <v>8517.620000000001</v>
      </c>
      <c r="E256" s="26" t="n">
        <v>46061</v>
      </c>
      <c r="F256" s="6" t="n">
        <v>4</v>
      </c>
      <c r="G256" s="27" t="n">
        <v>4046.14</v>
      </c>
      <c r="H256" s="6" t="inlineStr">
        <is>
          <t>CIF</t>
        </is>
      </c>
      <c r="I256" s="6" t="inlineStr">
        <is>
          <t>Ocean</t>
        </is>
      </c>
      <c r="J256" s="26" t="n">
        <v>46077</v>
      </c>
      <c r="K256" s="26" t="n">
        <v>46075</v>
      </c>
      <c r="L256" s="6" t="n">
        <v>3</v>
      </c>
      <c r="M256" s="6" t="inlineStr">
        <is>
          <t>Y</t>
        </is>
      </c>
      <c r="N256" s="6" t="inlineStr">
        <is>
          <t>Delivered</t>
        </is>
      </c>
      <c r="O256" s="6">
        <f>IF(K256="",0,K256-E256)</f>
        <v/>
      </c>
      <c r="P256" s="6">
        <f>IF(N256&lt;&gt;"Delivered","",IF(K256&lt;=J256,1,0))</f>
        <v/>
      </c>
      <c r="Q256" s="6">
        <f>IFERROR(INDEX(Raw_Suppliers!$C$2:$C$4,MATCH(B256,Raw_Suppliers!$A$2:$A$4,0)),"")</f>
        <v/>
      </c>
      <c r="R256" s="6">
        <f>Q256&amp;"|"&amp;D256</f>
        <v/>
      </c>
      <c r="S256" s="28">
        <f>IFERROR(INDEX(Raw_Tariff_Ref!$H$2:$H$10,MATCH(R256,Raw_Tariff_Ref!$I$2:$I$10,0)),0)</f>
        <v/>
      </c>
      <c r="T256" s="27">
        <f>IF(G256="","",G256*F256)</f>
        <v/>
      </c>
      <c r="U256" s="27">
        <f>IF(G256="","",G256*(1+S256))</f>
        <v/>
      </c>
      <c r="V256" s="27">
        <f>IF(U256="","",U256*F256)</f>
        <v/>
      </c>
      <c r="W256" s="6">
        <f>IF(COUNTIF($A$2:A256,A256)=1,1,0)</f>
        <v/>
      </c>
    </row>
    <row r="257">
      <c r="A257" s="6" t="inlineStr">
        <is>
          <t>PO-1050</t>
        </is>
      </c>
      <c r="B257" s="6" t="inlineStr">
        <is>
          <t>SUP-001</t>
        </is>
      </c>
      <c r="C257" s="6" t="inlineStr">
        <is>
          <t>PDU / MEP Equipment</t>
        </is>
      </c>
      <c r="D257" s="6" t="n">
        <v>8537.1</v>
      </c>
      <c r="E257" s="26" t="n">
        <v>46061</v>
      </c>
      <c r="F257" s="6" t="n">
        <v>2</v>
      </c>
      <c r="G257" s="27" t="n">
        <v>3966.43</v>
      </c>
      <c r="H257" s="6" t="inlineStr">
        <is>
          <t>DDP</t>
        </is>
      </c>
      <c r="I257" s="6" t="inlineStr">
        <is>
          <t>Air</t>
        </is>
      </c>
      <c r="J257" s="26" t="n">
        <v>46070</v>
      </c>
      <c r="K257" s="26" t="n">
        <v>46089</v>
      </c>
      <c r="L257" s="6" t="n">
        <v>0</v>
      </c>
      <c r="M257" s="6" t="inlineStr">
        <is>
          <t>N</t>
        </is>
      </c>
      <c r="N257" s="6" t="inlineStr">
        <is>
          <t>Delivered</t>
        </is>
      </c>
      <c r="O257" s="6">
        <f>IF(K257="",0,K257-E257)</f>
        <v/>
      </c>
      <c r="P257" s="6">
        <f>IF(N257&lt;&gt;"Delivered","",IF(K257&lt;=J257,1,0))</f>
        <v/>
      </c>
      <c r="Q257" s="6">
        <f>IFERROR(INDEX(Raw_Suppliers!$C$2:$C$4,MATCH(B257,Raw_Suppliers!$A$2:$A$4,0)),"")</f>
        <v/>
      </c>
      <c r="R257" s="6">
        <f>Q257&amp;"|"&amp;D257</f>
        <v/>
      </c>
      <c r="S257" s="28">
        <f>IFERROR(INDEX(Raw_Tariff_Ref!$H$2:$H$10,MATCH(R257,Raw_Tariff_Ref!$I$2:$I$10,0)),0)</f>
        <v/>
      </c>
      <c r="T257" s="27">
        <f>IF(G257="","",G257*F257)</f>
        <v/>
      </c>
      <c r="U257" s="27">
        <f>IF(G257="","",G257*(1+S257))</f>
        <v/>
      </c>
      <c r="V257" s="27">
        <f>IF(U257="","",U257*F257)</f>
        <v/>
      </c>
      <c r="W257" s="6">
        <f>IF(COUNTIF($A$2:A257,A257)=1,1,0)</f>
        <v/>
      </c>
    </row>
    <row r="258">
      <c r="A258" s="6" t="inlineStr">
        <is>
          <t>PO-1051</t>
        </is>
      </c>
      <c r="B258" s="6" t="inlineStr">
        <is>
          <t>SUP-003</t>
        </is>
      </c>
      <c r="C258" s="6" t="inlineStr">
        <is>
          <t>Network Switches</t>
        </is>
      </c>
      <c r="D258" s="6" t="n">
        <v>8517.620000000001</v>
      </c>
      <c r="E258" s="26" t="n">
        <v>46062</v>
      </c>
      <c r="F258" s="6" t="n">
        <v>25</v>
      </c>
      <c r="G258" s="27" t="n">
        <v>3112.18</v>
      </c>
      <c r="H258" s="6" t="inlineStr">
        <is>
          <t>CIF</t>
        </is>
      </c>
      <c r="I258" s="6" t="inlineStr">
        <is>
          <t>Ocean</t>
        </is>
      </c>
      <c r="J258" s="26" t="n">
        <v>46091</v>
      </c>
      <c r="K258" s="26" t="n">
        <v>46119</v>
      </c>
      <c r="L258" s="6" t="n">
        <v>10</v>
      </c>
      <c r="M258" s="6" t="inlineStr">
        <is>
          <t>N</t>
        </is>
      </c>
      <c r="N258" s="6" t="inlineStr">
        <is>
          <t>Delivered</t>
        </is>
      </c>
      <c r="O258" s="6">
        <f>IF(K258="",0,K258-E258)</f>
        <v/>
      </c>
      <c r="P258" s="6">
        <f>IF(N258&lt;&gt;"Delivered","",IF(K258&lt;=J258,1,0))</f>
        <v/>
      </c>
      <c r="Q258" s="6">
        <f>IFERROR(INDEX(Raw_Suppliers!$C$2:$C$4,MATCH(B258,Raw_Suppliers!$A$2:$A$4,0)),"")</f>
        <v/>
      </c>
      <c r="R258" s="6">
        <f>Q258&amp;"|"&amp;D258</f>
        <v/>
      </c>
      <c r="S258" s="28">
        <f>IFERROR(INDEX(Raw_Tariff_Ref!$H$2:$H$10,MATCH(R258,Raw_Tariff_Ref!$I$2:$I$10,0)),0)</f>
        <v/>
      </c>
      <c r="T258" s="27">
        <f>IF(G258="","",G258*F258)</f>
        <v/>
      </c>
      <c r="U258" s="27">
        <f>IF(G258="","",G258*(1+S258))</f>
        <v/>
      </c>
      <c r="V258" s="27">
        <f>IF(U258="","",U258*F258)</f>
        <v/>
      </c>
      <c r="W258" s="6">
        <f>IF(COUNTIF($A$2:A258,A258)=1,1,0)</f>
        <v/>
      </c>
    </row>
    <row r="259">
      <c r="A259" s="6" t="inlineStr">
        <is>
          <t>PO-1139</t>
        </is>
      </c>
      <c r="B259" s="6" t="inlineStr">
        <is>
          <t>SUP-003</t>
        </is>
      </c>
      <c r="C259" s="6" t="inlineStr">
        <is>
          <t>Network Switches</t>
        </is>
      </c>
      <c r="D259" s="6" t="n">
        <v>8517.620000000001</v>
      </c>
      <c r="E259" s="26" t="n">
        <v>46064</v>
      </c>
      <c r="F259" s="6" t="n">
        <v>4</v>
      </c>
      <c r="G259" s="27" t="n">
        <v>2028.02</v>
      </c>
      <c r="H259" s="6" t="inlineStr">
        <is>
          <t>FOB</t>
        </is>
      </c>
      <c r="I259" s="6" t="inlineStr">
        <is>
          <t>Air</t>
        </is>
      </c>
      <c r="J259" s="26" t="n">
        <v>46104</v>
      </c>
      <c r="K259" s="26" t="n">
        <v>46104</v>
      </c>
      <c r="L259" s="6" t="n">
        <v>5</v>
      </c>
      <c r="M259" s="6" t="inlineStr">
        <is>
          <t>N</t>
        </is>
      </c>
      <c r="N259" s="6" t="inlineStr">
        <is>
          <t>Delivered</t>
        </is>
      </c>
      <c r="O259" s="6">
        <f>IF(K259="",0,K259-E259)</f>
        <v/>
      </c>
      <c r="P259" s="6">
        <f>IF(N259&lt;&gt;"Delivered","",IF(K259&lt;=J259,1,0))</f>
        <v/>
      </c>
      <c r="Q259" s="6">
        <f>IFERROR(INDEX(Raw_Suppliers!$C$2:$C$4,MATCH(B259,Raw_Suppliers!$A$2:$A$4,0)),"")</f>
        <v/>
      </c>
      <c r="R259" s="6">
        <f>Q259&amp;"|"&amp;D259</f>
        <v/>
      </c>
      <c r="S259" s="28">
        <f>IFERROR(INDEX(Raw_Tariff_Ref!$H$2:$H$10,MATCH(R259,Raw_Tariff_Ref!$I$2:$I$10,0)),0)</f>
        <v/>
      </c>
      <c r="T259" s="27">
        <f>IF(G259="","",G259*F259)</f>
        <v/>
      </c>
      <c r="U259" s="27">
        <f>IF(G259="","",G259*(1+S259))</f>
        <v/>
      </c>
      <c r="V259" s="27">
        <f>IF(U259="","",U259*F259)</f>
        <v/>
      </c>
      <c r="W259" s="6">
        <f>IF(COUNTIF($A$2:A259,A259)=1,1,0)</f>
        <v/>
      </c>
    </row>
    <row r="260">
      <c r="A260" s="6" t="inlineStr">
        <is>
          <t>PO-1304</t>
        </is>
      </c>
      <c r="B260" s="6" t="inlineStr">
        <is>
          <t>SUP-001</t>
        </is>
      </c>
      <c r="C260" s="6" t="inlineStr">
        <is>
          <t>PDU / MEP Equipment</t>
        </is>
      </c>
      <c r="D260" s="6" t="n">
        <v>8537.1</v>
      </c>
      <c r="E260" s="26" t="n">
        <v>46065</v>
      </c>
      <c r="F260" s="6" t="n">
        <v>12</v>
      </c>
      <c r="G260" s="27" t="n">
        <v>2524.69</v>
      </c>
      <c r="H260" s="6" t="inlineStr">
        <is>
          <t>DDP</t>
        </is>
      </c>
      <c r="I260" s="6" t="inlineStr">
        <is>
          <t>Truck</t>
        </is>
      </c>
      <c r="J260" s="26" t="n">
        <v>46075</v>
      </c>
      <c r="K260" s="26" t="n">
        <v>46075</v>
      </c>
      <c r="L260" s="6" t="n">
        <v>0</v>
      </c>
      <c r="M260" s="6" t="inlineStr">
        <is>
          <t>N</t>
        </is>
      </c>
      <c r="N260" s="6" t="inlineStr">
        <is>
          <t>Delivered</t>
        </is>
      </c>
      <c r="O260" s="6">
        <f>IF(K260="",0,K260-E260)</f>
        <v/>
      </c>
      <c r="P260" s="6">
        <f>IF(N260&lt;&gt;"Delivered","",IF(K260&lt;=J260,1,0))</f>
        <v/>
      </c>
      <c r="Q260" s="6">
        <f>IFERROR(INDEX(Raw_Suppliers!$C$2:$C$4,MATCH(B260,Raw_Suppliers!$A$2:$A$4,0)),"")</f>
        <v/>
      </c>
      <c r="R260" s="6">
        <f>Q260&amp;"|"&amp;D260</f>
        <v/>
      </c>
      <c r="S260" s="28">
        <f>IFERROR(INDEX(Raw_Tariff_Ref!$H$2:$H$10,MATCH(R260,Raw_Tariff_Ref!$I$2:$I$10,0)),0)</f>
        <v/>
      </c>
      <c r="T260" s="27">
        <f>IF(G260="","",G260*F260)</f>
        <v/>
      </c>
      <c r="U260" s="27">
        <f>IF(G260="","",G260*(1+S260))</f>
        <v/>
      </c>
      <c r="V260" s="27">
        <f>IF(U260="","",U260*F260)</f>
        <v/>
      </c>
      <c r="W260" s="6">
        <f>IF(COUNTIF($A$2:A260,A260)=1,1,0)</f>
        <v/>
      </c>
    </row>
    <row r="261">
      <c r="A261" s="6" t="inlineStr">
        <is>
          <t>PO-1271</t>
        </is>
      </c>
      <c r="B261" s="6" t="inlineStr">
        <is>
          <t>SUP-003</t>
        </is>
      </c>
      <c r="C261" s="6" t="inlineStr">
        <is>
          <t>GPU Servers</t>
        </is>
      </c>
      <c r="D261" s="6" t="n">
        <v>8471.5</v>
      </c>
      <c r="E261" s="26" t="n">
        <v>46065</v>
      </c>
      <c r="F261" s="6" t="n">
        <v>10</v>
      </c>
      <c r="G261" s="27" t="n">
        <v>16637.17</v>
      </c>
      <c r="H261" s="6" t="inlineStr">
        <is>
          <t>FOB</t>
        </is>
      </c>
      <c r="I261" s="6" t="inlineStr">
        <is>
          <t>Air</t>
        </is>
      </c>
      <c r="J261" s="26" t="n">
        <v>46099</v>
      </c>
      <c r="K261" s="26" t="n">
        <v>46099</v>
      </c>
      <c r="L261" s="6" t="n">
        <v>4</v>
      </c>
      <c r="M261" s="6" t="inlineStr">
        <is>
          <t>N</t>
        </is>
      </c>
      <c r="N261" s="6" t="inlineStr">
        <is>
          <t>Delivered</t>
        </is>
      </c>
      <c r="O261" s="6">
        <f>IF(K261="",0,K261-E261)</f>
        <v/>
      </c>
      <c r="P261" s="6">
        <f>IF(N261&lt;&gt;"Delivered","",IF(K261&lt;=J261,1,0))</f>
        <v/>
      </c>
      <c r="Q261" s="6">
        <f>IFERROR(INDEX(Raw_Suppliers!$C$2:$C$4,MATCH(B261,Raw_Suppliers!$A$2:$A$4,0)),"")</f>
        <v/>
      </c>
      <c r="R261" s="6">
        <f>Q261&amp;"|"&amp;D261</f>
        <v/>
      </c>
      <c r="S261" s="28">
        <f>IFERROR(INDEX(Raw_Tariff_Ref!$H$2:$H$10,MATCH(R261,Raw_Tariff_Ref!$I$2:$I$10,0)),0)</f>
        <v/>
      </c>
      <c r="T261" s="27">
        <f>IF(G261="","",G261*F261)</f>
        <v/>
      </c>
      <c r="U261" s="27">
        <f>IF(G261="","",G261*(1+S261))</f>
        <v/>
      </c>
      <c r="V261" s="27">
        <f>IF(U261="","",U261*F261)</f>
        <v/>
      </c>
      <c r="W261" s="6">
        <f>IF(COUNTIF($A$2:A261,A261)=1,1,0)</f>
        <v/>
      </c>
    </row>
    <row r="262">
      <c r="A262" s="6" t="inlineStr">
        <is>
          <t>PO-1100</t>
        </is>
      </c>
      <c r="B262" s="6" t="inlineStr">
        <is>
          <t>SUP-003</t>
        </is>
      </c>
      <c r="C262" s="6" t="inlineStr">
        <is>
          <t>GPU Servers</t>
        </is>
      </c>
      <c r="D262" s="6" t="n">
        <v>8471.5</v>
      </c>
      <c r="E262" s="26" t="n">
        <v>46069</v>
      </c>
      <c r="F262" s="6" t="n">
        <v>12</v>
      </c>
      <c r="G262" s="27" t="n">
        <v>15956.54</v>
      </c>
      <c r="H262" s="6" t="inlineStr">
        <is>
          <t>FOB</t>
        </is>
      </c>
      <c r="I262" s="6" t="inlineStr">
        <is>
          <t>Ocean</t>
        </is>
      </c>
      <c r="J262" s="26" t="n">
        <v>46111</v>
      </c>
      <c r="K262" s="26" t="n">
        <v>46148</v>
      </c>
      <c r="L262" s="6" t="n">
        <v>7</v>
      </c>
      <c r="M262" s="6" t="inlineStr">
        <is>
          <t>N</t>
        </is>
      </c>
      <c r="N262" s="6" t="inlineStr">
        <is>
          <t>Delivered</t>
        </is>
      </c>
      <c r="O262" s="6">
        <f>IF(K262="",0,K262-E262)</f>
        <v/>
      </c>
      <c r="P262" s="6">
        <f>IF(N262&lt;&gt;"Delivered","",IF(K262&lt;=J262,1,0))</f>
        <v/>
      </c>
      <c r="Q262" s="6">
        <f>IFERROR(INDEX(Raw_Suppliers!$C$2:$C$4,MATCH(B262,Raw_Suppliers!$A$2:$A$4,0)),"")</f>
        <v/>
      </c>
      <c r="R262" s="6">
        <f>Q262&amp;"|"&amp;D262</f>
        <v/>
      </c>
      <c r="S262" s="28">
        <f>IFERROR(INDEX(Raw_Tariff_Ref!$H$2:$H$10,MATCH(R262,Raw_Tariff_Ref!$I$2:$I$10,0)),0)</f>
        <v/>
      </c>
      <c r="T262" s="27">
        <f>IF(G262="","",G262*F262)</f>
        <v/>
      </c>
      <c r="U262" s="27">
        <f>IF(G262="","",G262*(1+S262))</f>
        <v/>
      </c>
      <c r="V262" s="27">
        <f>IF(U262="","",U262*F262)</f>
        <v/>
      </c>
      <c r="W262" s="6">
        <f>IF(COUNTIF($A$2:A262,A262)=1,1,0)</f>
        <v/>
      </c>
    </row>
    <row r="263">
      <c r="A263" s="6" t="inlineStr">
        <is>
          <t>PO-1009</t>
        </is>
      </c>
      <c r="B263" s="6" t="inlineStr">
        <is>
          <t>SUP-003</t>
        </is>
      </c>
      <c r="C263" s="6" t="inlineStr">
        <is>
          <t>Network Switches</t>
        </is>
      </c>
      <c r="D263" s="6" t="n">
        <v>8517.620000000001</v>
      </c>
      <c r="E263" s="26" t="n">
        <v>46071</v>
      </c>
      <c r="F263" s="6" t="n">
        <v>25</v>
      </c>
      <c r="G263" s="27" t="n">
        <v>2336.84</v>
      </c>
      <c r="H263" s="6" t="inlineStr">
        <is>
          <t>EXW</t>
        </is>
      </c>
      <c r="I263" s="6" t="inlineStr">
        <is>
          <t>Ocean</t>
        </is>
      </c>
      <c r="J263" s="26" t="n">
        <v>46087</v>
      </c>
      <c r="K263" s="26" t="n">
        <v>46085</v>
      </c>
      <c r="L263" s="6" t="n">
        <v>5</v>
      </c>
      <c r="M263" s="6" t="inlineStr">
        <is>
          <t>N</t>
        </is>
      </c>
      <c r="N263" s="6" t="inlineStr">
        <is>
          <t>Delivered</t>
        </is>
      </c>
      <c r="O263" s="6">
        <f>IF(K263="",0,K263-E263)</f>
        <v/>
      </c>
      <c r="P263" s="6">
        <f>IF(N263&lt;&gt;"Delivered","",IF(K263&lt;=J263,1,0))</f>
        <v/>
      </c>
      <c r="Q263" s="6">
        <f>IFERROR(INDEX(Raw_Suppliers!$C$2:$C$4,MATCH(B263,Raw_Suppliers!$A$2:$A$4,0)),"")</f>
        <v/>
      </c>
      <c r="R263" s="6">
        <f>Q263&amp;"|"&amp;D263</f>
        <v/>
      </c>
      <c r="S263" s="28">
        <f>IFERROR(INDEX(Raw_Tariff_Ref!$H$2:$H$10,MATCH(R263,Raw_Tariff_Ref!$I$2:$I$10,0)),0)</f>
        <v/>
      </c>
      <c r="T263" s="27">
        <f>IF(G263="","",G263*F263)</f>
        <v/>
      </c>
      <c r="U263" s="27">
        <f>IF(G263="","",G263*(1+S263))</f>
        <v/>
      </c>
      <c r="V263" s="27">
        <f>IF(U263="","",U263*F263)</f>
        <v/>
      </c>
      <c r="W263" s="6">
        <f>IF(COUNTIF($A$2:A263,A263)=1,1,0)</f>
        <v/>
      </c>
    </row>
    <row r="264">
      <c r="A264" s="6" t="inlineStr">
        <is>
          <t>PO-1297</t>
        </is>
      </c>
      <c r="B264" s="6" t="inlineStr">
        <is>
          <t>SUP-001</t>
        </is>
      </c>
      <c r="C264" s="6" t="inlineStr">
        <is>
          <t>GPU Servers</t>
        </is>
      </c>
      <c r="D264" s="6" t="n">
        <v>8471.5</v>
      </c>
      <c r="E264" s="26" t="n">
        <v>46073</v>
      </c>
      <c r="F264" s="6" t="n">
        <v>10</v>
      </c>
      <c r="G264" s="27" t="n">
        <v>19417.15</v>
      </c>
      <c r="H264" s="6" t="inlineStr">
        <is>
          <t>DDP</t>
        </is>
      </c>
      <c r="I264" s="6" t="inlineStr">
        <is>
          <t>Air</t>
        </is>
      </c>
      <c r="J264" s="26" t="n">
        <v>46086</v>
      </c>
      <c r="K264" s="26" t="n">
        <v>46085</v>
      </c>
      <c r="L264" s="6" t="n">
        <v>0</v>
      </c>
      <c r="M264" s="6" t="inlineStr">
        <is>
          <t>N</t>
        </is>
      </c>
      <c r="N264" s="6" t="inlineStr">
        <is>
          <t>Delivered</t>
        </is>
      </c>
      <c r="O264" s="6">
        <f>IF(K264="",0,K264-E264)</f>
        <v/>
      </c>
      <c r="P264" s="6">
        <f>IF(N264&lt;&gt;"Delivered","",IF(K264&lt;=J264,1,0))</f>
        <v/>
      </c>
      <c r="Q264" s="6">
        <f>IFERROR(INDEX(Raw_Suppliers!$C$2:$C$4,MATCH(B264,Raw_Suppliers!$A$2:$A$4,0)),"")</f>
        <v/>
      </c>
      <c r="R264" s="6">
        <f>Q264&amp;"|"&amp;D264</f>
        <v/>
      </c>
      <c r="S264" s="28">
        <f>IFERROR(INDEX(Raw_Tariff_Ref!$H$2:$H$10,MATCH(R264,Raw_Tariff_Ref!$I$2:$I$10,0)),0)</f>
        <v/>
      </c>
      <c r="T264" s="27">
        <f>IF(G264="","",G264*F264)</f>
        <v/>
      </c>
      <c r="U264" s="27">
        <f>IF(G264="","",G264*(1+S264))</f>
        <v/>
      </c>
      <c r="V264" s="27">
        <f>IF(U264="","",U264*F264)</f>
        <v/>
      </c>
      <c r="W264" s="6">
        <f>IF(COUNTIF($A$2:A264,A264)=1,1,0)</f>
        <v/>
      </c>
    </row>
    <row r="265">
      <c r="A265" s="6" t="inlineStr">
        <is>
          <t>PO-1121</t>
        </is>
      </c>
      <c r="B265" s="6" t="inlineStr">
        <is>
          <t>SUP-003</t>
        </is>
      </c>
      <c r="C265" s="6" t="inlineStr">
        <is>
          <t>GPU Servers</t>
        </is>
      </c>
      <c r="D265" s="6" t="n">
        <v>8471.5</v>
      </c>
      <c r="E265" s="26" t="n">
        <v>46073</v>
      </c>
      <c r="F265" s="6" t="n">
        <v>2</v>
      </c>
      <c r="G265" s="27" t="n">
        <v>17552.26</v>
      </c>
      <c r="H265" s="6" t="inlineStr">
        <is>
          <t>CIF</t>
        </is>
      </c>
      <c r="I265" s="6" t="inlineStr">
        <is>
          <t>Ocean</t>
        </is>
      </c>
      <c r="J265" s="26" t="n">
        <v>46108</v>
      </c>
      <c r="K265" s="26" t="n">
        <v>46108</v>
      </c>
      <c r="L265" s="6" t="n">
        <v>9</v>
      </c>
      <c r="M265" s="6" t="inlineStr">
        <is>
          <t>N</t>
        </is>
      </c>
      <c r="N265" s="6" t="inlineStr">
        <is>
          <t>Delivered</t>
        </is>
      </c>
      <c r="O265" s="6">
        <f>IF(K265="",0,K265-E265)</f>
        <v/>
      </c>
      <c r="P265" s="6">
        <f>IF(N265&lt;&gt;"Delivered","",IF(K265&lt;=J265,1,0))</f>
        <v/>
      </c>
      <c r="Q265" s="6">
        <f>IFERROR(INDEX(Raw_Suppliers!$C$2:$C$4,MATCH(B265,Raw_Suppliers!$A$2:$A$4,0)),"")</f>
        <v/>
      </c>
      <c r="R265" s="6">
        <f>Q265&amp;"|"&amp;D265</f>
        <v/>
      </c>
      <c r="S265" s="28">
        <f>IFERROR(INDEX(Raw_Tariff_Ref!$H$2:$H$10,MATCH(R265,Raw_Tariff_Ref!$I$2:$I$10,0)),0)</f>
        <v/>
      </c>
      <c r="T265" s="27">
        <f>IF(G265="","",G265*F265)</f>
        <v/>
      </c>
      <c r="U265" s="27">
        <f>IF(G265="","",G265*(1+S265))</f>
        <v/>
      </c>
      <c r="V265" s="27">
        <f>IF(U265="","",U265*F265)</f>
        <v/>
      </c>
      <c r="W265" s="6">
        <f>IF(COUNTIF($A$2:A265,A265)=1,1,0)</f>
        <v/>
      </c>
    </row>
    <row r="266">
      <c r="A266" s="6" t="inlineStr">
        <is>
          <t>PO-1272</t>
        </is>
      </c>
      <c r="B266" s="6" t="inlineStr">
        <is>
          <t>SUP-003</t>
        </is>
      </c>
      <c r="C266" s="6" t="inlineStr">
        <is>
          <t>PDU / MEP Equipment</t>
        </is>
      </c>
      <c r="D266" s="6" t="n">
        <v>8537.1</v>
      </c>
      <c r="E266" s="26" t="n">
        <v>46075</v>
      </c>
      <c r="F266" s="6" t="n">
        <v>12</v>
      </c>
      <c r="G266" s="27" t="n">
        <v>2448.29</v>
      </c>
      <c r="H266" s="6" t="inlineStr">
        <is>
          <t>FOB</t>
        </is>
      </c>
      <c r="I266" s="6" t="inlineStr">
        <is>
          <t>Air</t>
        </is>
      </c>
      <c r="J266" s="26" t="n">
        <v>46102</v>
      </c>
      <c r="K266" s="26" t="n">
        <v>46101</v>
      </c>
      <c r="L266" s="6" t="n">
        <v>12</v>
      </c>
      <c r="M266" s="6" t="inlineStr">
        <is>
          <t>N</t>
        </is>
      </c>
      <c r="N266" s="6" t="inlineStr">
        <is>
          <t>Delivered</t>
        </is>
      </c>
      <c r="O266" s="6">
        <f>IF(K266="",0,K266-E266)</f>
        <v/>
      </c>
      <c r="P266" s="6">
        <f>IF(N266&lt;&gt;"Delivered","",IF(K266&lt;=J266,1,0))</f>
        <v/>
      </c>
      <c r="Q266" s="6">
        <f>IFERROR(INDEX(Raw_Suppliers!$C$2:$C$4,MATCH(B266,Raw_Suppliers!$A$2:$A$4,0)),"")</f>
        <v/>
      </c>
      <c r="R266" s="6">
        <f>Q266&amp;"|"&amp;D266</f>
        <v/>
      </c>
      <c r="S266" s="28">
        <f>IFERROR(INDEX(Raw_Tariff_Ref!$H$2:$H$10,MATCH(R266,Raw_Tariff_Ref!$I$2:$I$10,0)),0)</f>
        <v/>
      </c>
      <c r="T266" s="27">
        <f>IF(G266="","",G266*F266)</f>
        <v/>
      </c>
      <c r="U266" s="27">
        <f>IF(G266="","",G266*(1+S266))</f>
        <v/>
      </c>
      <c r="V266" s="27">
        <f>IF(U266="","",U266*F266)</f>
        <v/>
      </c>
      <c r="W266" s="6">
        <f>IF(COUNTIF($A$2:A266,A266)=1,1,0)</f>
        <v/>
      </c>
    </row>
    <row r="267">
      <c r="A267" s="6" t="inlineStr">
        <is>
          <t>PO-1025</t>
        </is>
      </c>
      <c r="B267" s="6" t="inlineStr">
        <is>
          <t>SUP-002</t>
        </is>
      </c>
      <c r="C267" s="6" t="inlineStr">
        <is>
          <t>Network Switches</t>
        </is>
      </c>
      <c r="D267" s="6" t="n">
        <v>8517.620000000001</v>
      </c>
      <c r="E267" s="26" t="n">
        <v>46076</v>
      </c>
      <c r="F267" s="6" t="n">
        <v>8</v>
      </c>
      <c r="G267" s="27" t="n">
        <v>3511.56</v>
      </c>
      <c r="H267" s="6" t="inlineStr">
        <is>
          <t>FOB</t>
        </is>
      </c>
      <c r="I267" s="6" t="inlineStr">
        <is>
          <t>Truck</t>
        </is>
      </c>
      <c r="J267" s="26" t="n">
        <v>46094</v>
      </c>
      <c r="K267" s="26" t="n">
        <v>46094</v>
      </c>
      <c r="L267" s="6" t="n">
        <v>4</v>
      </c>
      <c r="M267" s="6" t="inlineStr">
        <is>
          <t>N</t>
        </is>
      </c>
      <c r="N267" s="6" t="inlineStr">
        <is>
          <t>Delivered</t>
        </is>
      </c>
      <c r="O267" s="6">
        <f>IF(K267="",0,K267-E267)</f>
        <v/>
      </c>
      <c r="P267" s="6">
        <f>IF(N267&lt;&gt;"Delivered","",IF(K267&lt;=J267,1,0))</f>
        <v/>
      </c>
      <c r="Q267" s="6">
        <f>IFERROR(INDEX(Raw_Suppliers!$C$2:$C$4,MATCH(B267,Raw_Suppliers!$A$2:$A$4,0)),"")</f>
        <v/>
      </c>
      <c r="R267" s="6">
        <f>Q267&amp;"|"&amp;D267</f>
        <v/>
      </c>
      <c r="S267" s="28">
        <f>IFERROR(INDEX(Raw_Tariff_Ref!$H$2:$H$10,MATCH(R267,Raw_Tariff_Ref!$I$2:$I$10,0)),0)</f>
        <v/>
      </c>
      <c r="T267" s="27">
        <f>IF(G267="","",G267*F267)</f>
        <v/>
      </c>
      <c r="U267" s="27">
        <f>IF(G267="","",G267*(1+S267))</f>
        <v/>
      </c>
      <c r="V267" s="27">
        <f>IF(U267="","",U267*F267)</f>
        <v/>
      </c>
      <c r="W267" s="6">
        <f>IF(COUNTIF($A$2:A267,A267)=1,1,0)</f>
        <v/>
      </c>
    </row>
    <row r="268">
      <c r="A268" s="6" t="inlineStr">
        <is>
          <t>PO-1302</t>
        </is>
      </c>
      <c r="B268" s="6" t="inlineStr">
        <is>
          <t>SUP-003</t>
        </is>
      </c>
      <c r="C268" s="6" t="inlineStr">
        <is>
          <t>GPU Servers</t>
        </is>
      </c>
      <c r="D268" s="6" t="n">
        <v>8471.5</v>
      </c>
      <c r="E268" s="26" t="n">
        <v>46085</v>
      </c>
      <c r="F268" s="6" t="n">
        <v>20</v>
      </c>
      <c r="G268" s="27" t="n">
        <v>17453.46</v>
      </c>
      <c r="H268" s="6" t="inlineStr">
        <is>
          <t>EXW</t>
        </is>
      </c>
      <c r="I268" s="6" t="inlineStr">
        <is>
          <t>Ocean</t>
        </is>
      </c>
      <c r="J268" s="26" t="n">
        <v>46116</v>
      </c>
      <c r="K268" s="26" t="n">
        <v>46141</v>
      </c>
      <c r="L268" s="6" t="n">
        <v>11</v>
      </c>
      <c r="M268" s="6" t="inlineStr">
        <is>
          <t>N</t>
        </is>
      </c>
      <c r="N268" s="6" t="inlineStr">
        <is>
          <t>Delivered</t>
        </is>
      </c>
      <c r="O268" s="6">
        <f>IF(K268="",0,K268-E268)</f>
        <v/>
      </c>
      <c r="P268" s="6">
        <f>IF(N268&lt;&gt;"Delivered","",IF(K268&lt;=J268,1,0))</f>
        <v/>
      </c>
      <c r="Q268" s="6">
        <f>IFERROR(INDEX(Raw_Suppliers!$C$2:$C$4,MATCH(B268,Raw_Suppliers!$A$2:$A$4,0)),"")</f>
        <v/>
      </c>
      <c r="R268" s="6">
        <f>Q268&amp;"|"&amp;D268</f>
        <v/>
      </c>
      <c r="S268" s="28">
        <f>IFERROR(INDEX(Raw_Tariff_Ref!$H$2:$H$10,MATCH(R268,Raw_Tariff_Ref!$I$2:$I$10,0)),0)</f>
        <v/>
      </c>
      <c r="T268" s="27">
        <f>IF(G268="","",G268*F268)</f>
        <v/>
      </c>
      <c r="U268" s="27">
        <f>IF(G268="","",G268*(1+S268))</f>
        <v/>
      </c>
      <c r="V268" s="27">
        <f>IF(U268="","",U268*F268)</f>
        <v/>
      </c>
      <c r="W268" s="6">
        <f>IF(COUNTIF($A$2:A268,A268)=1,1,0)</f>
        <v/>
      </c>
    </row>
    <row r="269">
      <c r="A269" s="6" t="inlineStr">
        <is>
          <t>PO-1219</t>
        </is>
      </c>
      <c r="B269" s="6" t="inlineStr">
        <is>
          <t>SUP-003</t>
        </is>
      </c>
      <c r="C269" s="6" t="inlineStr">
        <is>
          <t>PDU / MEP Equipment</t>
        </is>
      </c>
      <c r="D269" s="6" t="n">
        <v>8537.1</v>
      </c>
      <c r="E269" s="26" t="n">
        <v>46085</v>
      </c>
      <c r="F269" s="6" t="n">
        <v>25</v>
      </c>
      <c r="G269" s="27" t="n">
        <v>2234.9</v>
      </c>
      <c r="H269" s="6" t="inlineStr">
        <is>
          <t>EXW</t>
        </is>
      </c>
      <c r="I269" s="6" t="inlineStr">
        <is>
          <t>Air</t>
        </is>
      </c>
      <c r="J269" s="26" t="n">
        <v>46123</v>
      </c>
      <c r="K269" s="26" t="n">
        <v>46160</v>
      </c>
      <c r="L269" s="6" t="n">
        <v>6</v>
      </c>
      <c r="M269" s="6" t="inlineStr">
        <is>
          <t>N</t>
        </is>
      </c>
      <c r="N269" s="6" t="inlineStr">
        <is>
          <t>Delivered</t>
        </is>
      </c>
      <c r="O269" s="6">
        <f>IF(K269="",0,K269-E269)</f>
        <v/>
      </c>
      <c r="P269" s="6">
        <f>IF(N269&lt;&gt;"Delivered","",IF(K269&lt;=J269,1,0))</f>
        <v/>
      </c>
      <c r="Q269" s="6">
        <f>IFERROR(INDEX(Raw_Suppliers!$C$2:$C$4,MATCH(B269,Raw_Suppliers!$A$2:$A$4,0)),"")</f>
        <v/>
      </c>
      <c r="R269" s="6">
        <f>Q269&amp;"|"&amp;D269</f>
        <v/>
      </c>
      <c r="S269" s="28">
        <f>IFERROR(INDEX(Raw_Tariff_Ref!$H$2:$H$10,MATCH(R269,Raw_Tariff_Ref!$I$2:$I$10,0)),0)</f>
        <v/>
      </c>
      <c r="T269" s="27">
        <f>IF(G269="","",G269*F269)</f>
        <v/>
      </c>
      <c r="U269" s="27">
        <f>IF(G269="","",G269*(1+S269))</f>
        <v/>
      </c>
      <c r="V269" s="27">
        <f>IF(U269="","",U269*F269)</f>
        <v/>
      </c>
      <c r="W269" s="6">
        <f>IF(COUNTIF($A$2:A269,A269)=1,1,0)</f>
        <v/>
      </c>
    </row>
    <row r="270">
      <c r="A270" s="6" t="inlineStr">
        <is>
          <t>PO-1034</t>
        </is>
      </c>
      <c r="B270" s="6" t="inlineStr">
        <is>
          <t>SUP-003</t>
        </is>
      </c>
      <c r="C270" s="6" t="inlineStr">
        <is>
          <t>PDU / MEP Equipment</t>
        </is>
      </c>
      <c r="D270" s="6" t="n">
        <v>8537.1</v>
      </c>
      <c r="E270" s="26" t="n">
        <v>46085</v>
      </c>
      <c r="F270" s="6" t="n">
        <v>12</v>
      </c>
      <c r="G270" s="27" t="n">
        <v>2325.52</v>
      </c>
      <c r="H270" s="6" t="inlineStr">
        <is>
          <t>FOB</t>
        </is>
      </c>
      <c r="I270" s="6" t="inlineStr">
        <is>
          <t>Ocean</t>
        </is>
      </c>
      <c r="J270" s="26" t="n">
        <v>46128</v>
      </c>
      <c r="K270" s="26" t="n">
        <v>46128</v>
      </c>
      <c r="L270" s="6" t="n">
        <v>7</v>
      </c>
      <c r="M270" s="6" t="inlineStr">
        <is>
          <t>N</t>
        </is>
      </c>
      <c r="N270" s="6" t="inlineStr">
        <is>
          <t>Delivered</t>
        </is>
      </c>
      <c r="O270" s="6">
        <f>IF(K270="",0,K270-E270)</f>
        <v/>
      </c>
      <c r="P270" s="6">
        <f>IF(N270&lt;&gt;"Delivered","",IF(K270&lt;=J270,1,0))</f>
        <v/>
      </c>
      <c r="Q270" s="6">
        <f>IFERROR(INDEX(Raw_Suppliers!$C$2:$C$4,MATCH(B270,Raw_Suppliers!$A$2:$A$4,0)),"")</f>
        <v/>
      </c>
      <c r="R270" s="6">
        <f>Q270&amp;"|"&amp;D270</f>
        <v/>
      </c>
      <c r="S270" s="28">
        <f>IFERROR(INDEX(Raw_Tariff_Ref!$H$2:$H$10,MATCH(R270,Raw_Tariff_Ref!$I$2:$I$10,0)),0)</f>
        <v/>
      </c>
      <c r="T270" s="27">
        <f>IF(G270="","",G270*F270)</f>
        <v/>
      </c>
      <c r="U270" s="27">
        <f>IF(G270="","",G270*(1+S270))</f>
        <v/>
      </c>
      <c r="V270" s="27">
        <f>IF(U270="","",U270*F270)</f>
        <v/>
      </c>
      <c r="W270" s="6">
        <f>IF(COUNTIF($A$2:A270,A270)=1,1,0)</f>
        <v/>
      </c>
    </row>
    <row r="271">
      <c r="A271" s="6" t="inlineStr">
        <is>
          <t>PO-1083</t>
        </is>
      </c>
      <c r="B271" s="6" t="inlineStr">
        <is>
          <t>SUP-002</t>
        </is>
      </c>
      <c r="C271" s="6" t="inlineStr">
        <is>
          <t>GPU Servers</t>
        </is>
      </c>
      <c r="D271" s="6" t="n">
        <v>8471.5</v>
      </c>
      <c r="E271" s="26" t="n">
        <v>46088</v>
      </c>
      <c r="F271" s="6" t="n">
        <v>8</v>
      </c>
      <c r="G271" s="27" t="n">
        <v>21113.1</v>
      </c>
      <c r="H271" s="6" t="inlineStr">
        <is>
          <t>FOB</t>
        </is>
      </c>
      <c r="I271" s="6" t="inlineStr">
        <is>
          <t>Ocean</t>
        </is>
      </c>
      <c r="J271" s="26" t="n">
        <v>46104</v>
      </c>
      <c r="K271" s="26" t="n">
        <v>46103</v>
      </c>
      <c r="L271" s="6" t="n">
        <v>2</v>
      </c>
      <c r="M271" s="6" t="inlineStr">
        <is>
          <t>N</t>
        </is>
      </c>
      <c r="N271" s="6" t="inlineStr">
        <is>
          <t>Delivered</t>
        </is>
      </c>
      <c r="O271" s="6">
        <f>IF(K271="",0,K271-E271)</f>
        <v/>
      </c>
      <c r="P271" s="6">
        <f>IF(N271&lt;&gt;"Delivered","",IF(K271&lt;=J271,1,0))</f>
        <v/>
      </c>
      <c r="Q271" s="6">
        <f>IFERROR(INDEX(Raw_Suppliers!$C$2:$C$4,MATCH(B271,Raw_Suppliers!$A$2:$A$4,0)),"")</f>
        <v/>
      </c>
      <c r="R271" s="6">
        <f>Q271&amp;"|"&amp;D271</f>
        <v/>
      </c>
      <c r="S271" s="28">
        <f>IFERROR(INDEX(Raw_Tariff_Ref!$H$2:$H$10,MATCH(R271,Raw_Tariff_Ref!$I$2:$I$10,0)),0)</f>
        <v/>
      </c>
      <c r="T271" s="27">
        <f>IF(G271="","",G271*F271)</f>
        <v/>
      </c>
      <c r="U271" s="27">
        <f>IF(G271="","",G271*(1+S271))</f>
        <v/>
      </c>
      <c r="V271" s="27">
        <f>IF(U271="","",U271*F271)</f>
        <v/>
      </c>
      <c r="W271" s="6">
        <f>IF(COUNTIF($A$2:A271,A271)=1,1,0)</f>
        <v/>
      </c>
    </row>
    <row r="272">
      <c r="A272" s="6" t="inlineStr">
        <is>
          <t>PO-1098</t>
        </is>
      </c>
      <c r="B272" s="6" t="inlineStr">
        <is>
          <t>SUP-003</t>
        </is>
      </c>
      <c r="C272" s="6" t="inlineStr">
        <is>
          <t>network switches</t>
        </is>
      </c>
      <c r="D272" s="6" t="n">
        <v>8517.620000000001</v>
      </c>
      <c r="E272" s="26" t="n">
        <v>46088</v>
      </c>
      <c r="F272" s="6" t="n">
        <v>25</v>
      </c>
      <c r="G272" s="27" t="n">
        <v>2388.1</v>
      </c>
      <c r="H272" s="6" t="inlineStr">
        <is>
          <t>FOB</t>
        </is>
      </c>
      <c r="I272" s="6" t="inlineStr">
        <is>
          <t>Air</t>
        </is>
      </c>
      <c r="J272" s="26" t="n">
        <v>46113</v>
      </c>
      <c r="K272" s="26" t="n">
        <v>46111</v>
      </c>
      <c r="L272" s="6" t="n">
        <v>5</v>
      </c>
      <c r="M272" s="6" t="inlineStr">
        <is>
          <t>N</t>
        </is>
      </c>
      <c r="N272" s="6" t="inlineStr">
        <is>
          <t>Delivered</t>
        </is>
      </c>
      <c r="O272" s="6">
        <f>IF(K272="",0,K272-E272)</f>
        <v/>
      </c>
      <c r="P272" s="6">
        <f>IF(N272&lt;&gt;"Delivered","",IF(K272&lt;=J272,1,0))</f>
        <v/>
      </c>
      <c r="Q272" s="6">
        <f>IFERROR(INDEX(Raw_Suppliers!$C$2:$C$4,MATCH(B272,Raw_Suppliers!$A$2:$A$4,0)),"")</f>
        <v/>
      </c>
      <c r="R272" s="6">
        <f>Q272&amp;"|"&amp;D272</f>
        <v/>
      </c>
      <c r="S272" s="28">
        <f>IFERROR(INDEX(Raw_Tariff_Ref!$H$2:$H$10,MATCH(R272,Raw_Tariff_Ref!$I$2:$I$10,0)),0)</f>
        <v/>
      </c>
      <c r="T272" s="27">
        <f>IF(G272="","",G272*F272)</f>
        <v/>
      </c>
      <c r="U272" s="27">
        <f>IF(G272="","",G272*(1+S272))</f>
        <v/>
      </c>
      <c r="V272" s="27">
        <f>IF(U272="","",U272*F272)</f>
        <v/>
      </c>
      <c r="W272" s="6">
        <f>IF(COUNTIF($A$2:A272,A272)=1,1,0)</f>
        <v/>
      </c>
    </row>
    <row r="273">
      <c r="A273" s="6" t="inlineStr">
        <is>
          <t>PO-1187</t>
        </is>
      </c>
      <c r="B273" s="6" t="inlineStr">
        <is>
          <t>SUP-002</t>
        </is>
      </c>
      <c r="C273" s="6" t="inlineStr">
        <is>
          <t>Network Switches</t>
        </is>
      </c>
      <c r="D273" s="6" t="n">
        <v>8517.620000000001</v>
      </c>
      <c r="E273" s="26" t="n">
        <v>46089</v>
      </c>
      <c r="F273" s="6" t="n">
        <v>2</v>
      </c>
      <c r="G273" s="27" t="n">
        <v>4980.6</v>
      </c>
      <c r="H273" s="6" t="inlineStr">
        <is>
          <t>CIF</t>
        </is>
      </c>
      <c r="I273" s="6" t="inlineStr">
        <is>
          <t>Truck</t>
        </is>
      </c>
      <c r="J273" s="26" t="n">
        <v>46107</v>
      </c>
      <c r="K273" s="26" t="n">
        <v>46107</v>
      </c>
      <c r="L273" s="6" t="n">
        <v>1</v>
      </c>
      <c r="M273" s="6" t="inlineStr">
        <is>
          <t>N</t>
        </is>
      </c>
      <c r="N273" s="6" t="inlineStr">
        <is>
          <t>Delivered</t>
        </is>
      </c>
      <c r="O273" s="6">
        <f>IF(K273="",0,K273-E273)</f>
        <v/>
      </c>
      <c r="P273" s="6">
        <f>IF(N273&lt;&gt;"Delivered","",IF(K273&lt;=J273,1,0))</f>
        <v/>
      </c>
      <c r="Q273" s="6">
        <f>IFERROR(INDEX(Raw_Suppliers!$C$2:$C$4,MATCH(B273,Raw_Suppliers!$A$2:$A$4,0)),"")</f>
        <v/>
      </c>
      <c r="R273" s="6">
        <f>Q273&amp;"|"&amp;D273</f>
        <v/>
      </c>
      <c r="S273" s="28">
        <f>IFERROR(INDEX(Raw_Tariff_Ref!$H$2:$H$10,MATCH(R273,Raw_Tariff_Ref!$I$2:$I$10,0)),0)</f>
        <v/>
      </c>
      <c r="T273" s="27">
        <f>IF(G273="","",G273*F273)</f>
        <v/>
      </c>
      <c r="U273" s="27">
        <f>IF(G273="","",G273*(1+S273))</f>
        <v/>
      </c>
      <c r="V273" s="27">
        <f>IF(U273="","",U273*F273)</f>
        <v/>
      </c>
      <c r="W273" s="6">
        <f>IF(COUNTIF($A$2:A273,A273)=1,1,0)</f>
        <v/>
      </c>
    </row>
    <row r="274">
      <c r="A274" s="6" t="inlineStr">
        <is>
          <t>PO-1296</t>
        </is>
      </c>
      <c r="B274" s="6" t="inlineStr">
        <is>
          <t>SUP-001</t>
        </is>
      </c>
      <c r="C274" s="6" t="inlineStr">
        <is>
          <t>GPU Servers</t>
        </is>
      </c>
      <c r="D274" s="6" t="n">
        <v>8471.5</v>
      </c>
      <c r="E274" s="26" t="n">
        <v>46089</v>
      </c>
      <c r="F274" s="6" t="n">
        <v>10</v>
      </c>
      <c r="G274" s="27" t="n">
        <v>19110.69</v>
      </c>
      <c r="H274" s="6" t="inlineStr">
        <is>
          <t>DDP</t>
        </is>
      </c>
      <c r="I274" s="6" t="inlineStr">
        <is>
          <t>Truck</t>
        </is>
      </c>
      <c r="J274" s="26" t="n">
        <v>46096</v>
      </c>
      <c r="K274" s="26" t="n">
        <v>46107</v>
      </c>
      <c r="L274" s="6" t="n">
        <v>0</v>
      </c>
      <c r="M274" s="6" t="inlineStr">
        <is>
          <t>N</t>
        </is>
      </c>
      <c r="N274" s="6" t="inlineStr">
        <is>
          <t>Delivered</t>
        </is>
      </c>
      <c r="O274" s="6">
        <f>IF(K274="",0,K274-E274)</f>
        <v/>
      </c>
      <c r="P274" s="6">
        <f>IF(N274&lt;&gt;"Delivered","",IF(K274&lt;=J274,1,0))</f>
        <v/>
      </c>
      <c r="Q274" s="6">
        <f>IFERROR(INDEX(Raw_Suppliers!$C$2:$C$4,MATCH(B274,Raw_Suppliers!$A$2:$A$4,0)),"")</f>
        <v/>
      </c>
      <c r="R274" s="6">
        <f>Q274&amp;"|"&amp;D274</f>
        <v/>
      </c>
      <c r="S274" s="28">
        <f>IFERROR(INDEX(Raw_Tariff_Ref!$H$2:$H$10,MATCH(R274,Raw_Tariff_Ref!$I$2:$I$10,0)),0)</f>
        <v/>
      </c>
      <c r="T274" s="27">
        <f>IF(G274="","",G274*F274)</f>
        <v/>
      </c>
      <c r="U274" s="27">
        <f>IF(G274="","",G274*(1+S274))</f>
        <v/>
      </c>
      <c r="V274" s="27">
        <f>IF(U274="","",U274*F274)</f>
        <v/>
      </c>
      <c r="W274" s="6">
        <f>IF(COUNTIF($A$2:A274,A274)=1,1,0)</f>
        <v/>
      </c>
    </row>
    <row r="275">
      <c r="A275" s="6" t="inlineStr">
        <is>
          <t>PO-1197</t>
        </is>
      </c>
      <c r="B275" s="6" t="inlineStr">
        <is>
          <t>SUP-003</t>
        </is>
      </c>
      <c r="C275" s="6" t="inlineStr">
        <is>
          <t>PDU / MEP Equipment</t>
        </is>
      </c>
      <c r="D275" s="6" t="n">
        <v>8537.1</v>
      </c>
      <c r="E275" s="26" t="n">
        <v>46090</v>
      </c>
      <c r="F275" s="6" t="n">
        <v>2</v>
      </c>
      <c r="G275" s="27" t="n">
        <v>1540.48</v>
      </c>
      <c r="H275" s="6" t="inlineStr">
        <is>
          <t>FOB</t>
        </is>
      </c>
      <c r="I275" s="6" t="inlineStr">
        <is>
          <t>Air</t>
        </is>
      </c>
      <c r="J275" s="26" t="n">
        <v>46122</v>
      </c>
      <c r="K275" s="26" t="n">
        <v>46135</v>
      </c>
      <c r="L275" s="6" t="n">
        <v>5</v>
      </c>
      <c r="M275" s="6" t="inlineStr">
        <is>
          <t>N</t>
        </is>
      </c>
      <c r="N275" s="6" t="inlineStr">
        <is>
          <t>Delivered</t>
        </is>
      </c>
      <c r="O275" s="6">
        <f>IF(K275="",0,K275-E275)</f>
        <v/>
      </c>
      <c r="P275" s="6">
        <f>IF(N275&lt;&gt;"Delivered","",IF(K275&lt;=J275,1,0))</f>
        <v/>
      </c>
      <c r="Q275" s="6">
        <f>IFERROR(INDEX(Raw_Suppliers!$C$2:$C$4,MATCH(B275,Raw_Suppliers!$A$2:$A$4,0)),"")</f>
        <v/>
      </c>
      <c r="R275" s="6">
        <f>Q275&amp;"|"&amp;D275</f>
        <v/>
      </c>
      <c r="S275" s="28">
        <f>IFERROR(INDEX(Raw_Tariff_Ref!$H$2:$H$10,MATCH(R275,Raw_Tariff_Ref!$I$2:$I$10,0)),0)</f>
        <v/>
      </c>
      <c r="T275" s="27">
        <f>IF(G275="","",G275*F275)</f>
        <v/>
      </c>
      <c r="U275" s="27">
        <f>IF(G275="","",G275*(1+S275))</f>
        <v/>
      </c>
      <c r="V275" s="27">
        <f>IF(U275="","",U275*F275)</f>
        <v/>
      </c>
      <c r="W275" s="6">
        <f>IF(COUNTIF($A$2:A275,A275)=1,1,0)</f>
        <v/>
      </c>
    </row>
    <row r="276">
      <c r="A276" s="6" t="inlineStr">
        <is>
          <t>PO-1301</t>
        </is>
      </c>
      <c r="B276" s="6" t="inlineStr">
        <is>
          <t>SUP-002</t>
        </is>
      </c>
      <c r="C276" s="6" t="inlineStr">
        <is>
          <t>network switches</t>
        </is>
      </c>
      <c r="D276" s="6" t="n">
        <v>8517.620000000001</v>
      </c>
      <c r="E276" s="26" t="n">
        <v>46092</v>
      </c>
      <c r="F276" s="6" t="n">
        <v>5</v>
      </c>
      <c r="G276" s="27" t="n">
        <v>5163</v>
      </c>
      <c r="H276" s="6" t="inlineStr">
        <is>
          <t>FOB</t>
        </is>
      </c>
      <c r="I276" s="6" t="inlineStr">
        <is>
          <t>Truck</t>
        </is>
      </c>
      <c r="J276" s="26" t="n">
        <v>46106</v>
      </c>
      <c r="K276" s="26" t="n">
        <v>46104</v>
      </c>
      <c r="L276" s="6" t="n">
        <v>2</v>
      </c>
      <c r="M276" s="6" t="inlineStr">
        <is>
          <t>N</t>
        </is>
      </c>
      <c r="N276" s="6" t="inlineStr">
        <is>
          <t>Delivered</t>
        </is>
      </c>
      <c r="O276" s="6">
        <f>IF(K276="",0,K276-E276)</f>
        <v/>
      </c>
      <c r="P276" s="6">
        <f>IF(N276&lt;&gt;"Delivered","",IF(K276&lt;=J276,1,0))</f>
        <v/>
      </c>
      <c r="Q276" s="6">
        <f>IFERROR(INDEX(Raw_Suppliers!$C$2:$C$4,MATCH(B276,Raw_Suppliers!$A$2:$A$4,0)),"")</f>
        <v/>
      </c>
      <c r="R276" s="6">
        <f>Q276&amp;"|"&amp;D276</f>
        <v/>
      </c>
      <c r="S276" s="28">
        <f>IFERROR(INDEX(Raw_Tariff_Ref!$H$2:$H$10,MATCH(R276,Raw_Tariff_Ref!$I$2:$I$10,0)),0)</f>
        <v/>
      </c>
      <c r="T276" s="27">
        <f>IF(G276="","",G276*F276)</f>
        <v/>
      </c>
      <c r="U276" s="27">
        <f>IF(G276="","",G276*(1+S276))</f>
        <v/>
      </c>
      <c r="V276" s="27">
        <f>IF(U276="","",U276*F276)</f>
        <v/>
      </c>
      <c r="W276" s="6">
        <f>IF(COUNTIF($A$2:A276,A276)=1,1,0)</f>
        <v/>
      </c>
    </row>
    <row r="277">
      <c r="A277" s="6" t="inlineStr">
        <is>
          <t>PO-1010</t>
        </is>
      </c>
      <c r="B277" s="6" t="inlineStr">
        <is>
          <t>SUP-003</t>
        </is>
      </c>
      <c r="C277" s="6" t="inlineStr">
        <is>
          <t>GPU Servers</t>
        </is>
      </c>
      <c r="D277" s="6" t="n">
        <v>8471.5</v>
      </c>
      <c r="E277" s="26" t="n">
        <v>46095</v>
      </c>
      <c r="F277" s="6" t="n">
        <v>16</v>
      </c>
      <c r="G277" s="27" t="n">
        <v>14202.29</v>
      </c>
      <c r="H277" s="6" t="inlineStr">
        <is>
          <t>FOB</t>
        </is>
      </c>
      <c r="I277" s="6" t="inlineStr">
        <is>
          <t>Air</t>
        </is>
      </c>
      <c r="J277" s="26" t="n">
        <v>46119</v>
      </c>
      <c r="K277" s="26" t="n">
        <v>46118</v>
      </c>
      <c r="L277" s="6" t="n">
        <v>11</v>
      </c>
      <c r="M277" s="6" t="inlineStr">
        <is>
          <t>N</t>
        </is>
      </c>
      <c r="N277" s="6" t="inlineStr">
        <is>
          <t>Delivered</t>
        </is>
      </c>
      <c r="O277" s="6">
        <f>IF(K277="",0,K277-E277)</f>
        <v/>
      </c>
      <c r="P277" s="6">
        <f>IF(N277&lt;&gt;"Delivered","",IF(K277&lt;=J277,1,0))</f>
        <v/>
      </c>
      <c r="Q277" s="6">
        <f>IFERROR(INDEX(Raw_Suppliers!$C$2:$C$4,MATCH(B277,Raw_Suppliers!$A$2:$A$4,0)),"")</f>
        <v/>
      </c>
      <c r="R277" s="6">
        <f>Q277&amp;"|"&amp;D277</f>
        <v/>
      </c>
      <c r="S277" s="28">
        <f>IFERROR(INDEX(Raw_Tariff_Ref!$H$2:$H$10,MATCH(R277,Raw_Tariff_Ref!$I$2:$I$10,0)),0)</f>
        <v/>
      </c>
      <c r="T277" s="27">
        <f>IF(G277="","",G277*F277)</f>
        <v/>
      </c>
      <c r="U277" s="27">
        <f>IF(G277="","",G277*(1+S277))</f>
        <v/>
      </c>
      <c r="V277" s="27">
        <f>IF(U277="","",U277*F277)</f>
        <v/>
      </c>
      <c r="W277" s="6">
        <f>IF(COUNTIF($A$2:A277,A277)=1,1,0)</f>
        <v/>
      </c>
    </row>
    <row r="278">
      <c r="A278" s="6" t="inlineStr">
        <is>
          <t>PO-1288</t>
        </is>
      </c>
      <c r="B278" s="6" t="inlineStr">
        <is>
          <t>SUP-001</t>
        </is>
      </c>
      <c r="C278" s="6" t="inlineStr">
        <is>
          <t>PDU / MEP Equipment</t>
        </is>
      </c>
      <c r="D278" s="6" t="n">
        <v>8537.1</v>
      </c>
      <c r="E278" s="26" t="n">
        <v>46096</v>
      </c>
      <c r="F278" s="6" t="n">
        <v>25</v>
      </c>
      <c r="G278" s="27" t="n">
        <v>3699.43</v>
      </c>
      <c r="H278" s="6" t="inlineStr">
        <is>
          <t>FOB</t>
        </is>
      </c>
      <c r="I278" s="6" t="inlineStr">
        <is>
          <t>Air</t>
        </is>
      </c>
      <c r="J278" s="26" t="n">
        <v>46113</v>
      </c>
      <c r="K278" s="26" t="n">
        <v>46111</v>
      </c>
      <c r="L278" s="6" t="n">
        <v>0</v>
      </c>
      <c r="M278" s="6" t="inlineStr">
        <is>
          <t>N</t>
        </is>
      </c>
      <c r="N278" s="6" t="inlineStr">
        <is>
          <t>Delivered</t>
        </is>
      </c>
      <c r="O278" s="6">
        <f>IF(K278="",0,K278-E278)</f>
        <v/>
      </c>
      <c r="P278" s="6">
        <f>IF(N278&lt;&gt;"Delivered","",IF(K278&lt;=J278,1,0))</f>
        <v/>
      </c>
      <c r="Q278" s="6">
        <f>IFERROR(INDEX(Raw_Suppliers!$C$2:$C$4,MATCH(B278,Raw_Suppliers!$A$2:$A$4,0)),"")</f>
        <v/>
      </c>
      <c r="R278" s="6">
        <f>Q278&amp;"|"&amp;D278</f>
        <v/>
      </c>
      <c r="S278" s="28">
        <f>IFERROR(INDEX(Raw_Tariff_Ref!$H$2:$H$10,MATCH(R278,Raw_Tariff_Ref!$I$2:$I$10,0)),0)</f>
        <v/>
      </c>
      <c r="T278" s="27">
        <f>IF(G278="","",G278*F278)</f>
        <v/>
      </c>
      <c r="U278" s="27">
        <f>IF(G278="","",G278*(1+S278))</f>
        <v/>
      </c>
      <c r="V278" s="27">
        <f>IF(U278="","",U278*F278)</f>
        <v/>
      </c>
      <c r="W278" s="6">
        <f>IF(COUNTIF($A$2:A278,A278)=1,1,0)</f>
        <v/>
      </c>
    </row>
    <row r="279">
      <c r="A279" s="6" t="inlineStr">
        <is>
          <t>PO-1150</t>
        </is>
      </c>
      <c r="B279" s="6" t="inlineStr">
        <is>
          <t>SUP-001</t>
        </is>
      </c>
      <c r="C279" s="6" t="inlineStr">
        <is>
          <t>GPU Servers</t>
        </is>
      </c>
      <c r="D279" s="6" t="n">
        <v>8471.5</v>
      </c>
      <c r="E279" s="26" t="n">
        <v>46096</v>
      </c>
      <c r="F279" s="6" t="n">
        <v>8</v>
      </c>
      <c r="G279" s="27" t="n">
        <v>24229.19</v>
      </c>
      <c r="H279" s="6" t="inlineStr">
        <is>
          <t>FOB</t>
        </is>
      </c>
      <c r="I279" s="6" t="inlineStr">
        <is>
          <t>Truck</t>
        </is>
      </c>
      <c r="J279" s="26" t="n">
        <v>46104</v>
      </c>
      <c r="K279" s="26" t="n">
        <v>46103</v>
      </c>
      <c r="L279" s="6" t="n">
        <v>1</v>
      </c>
      <c r="M279" s="6" t="inlineStr">
        <is>
          <t>N</t>
        </is>
      </c>
      <c r="N279" s="6" t="inlineStr">
        <is>
          <t>Delivered</t>
        </is>
      </c>
      <c r="O279" s="6">
        <f>IF(K279="",0,K279-E279)</f>
        <v/>
      </c>
      <c r="P279" s="6">
        <f>IF(N279&lt;&gt;"Delivered","",IF(K279&lt;=J279,1,0))</f>
        <v/>
      </c>
      <c r="Q279" s="6">
        <f>IFERROR(INDEX(Raw_Suppliers!$C$2:$C$4,MATCH(B279,Raw_Suppliers!$A$2:$A$4,0)),"")</f>
        <v/>
      </c>
      <c r="R279" s="6">
        <f>Q279&amp;"|"&amp;D279</f>
        <v/>
      </c>
      <c r="S279" s="28">
        <f>IFERROR(INDEX(Raw_Tariff_Ref!$H$2:$H$10,MATCH(R279,Raw_Tariff_Ref!$I$2:$I$10,0)),0)</f>
        <v/>
      </c>
      <c r="T279" s="27">
        <f>IF(G279="","",G279*F279)</f>
        <v/>
      </c>
      <c r="U279" s="27">
        <f>IF(G279="","",G279*(1+S279))</f>
        <v/>
      </c>
      <c r="V279" s="27">
        <f>IF(U279="","",U279*F279)</f>
        <v/>
      </c>
      <c r="W279" s="6">
        <f>IF(COUNTIF($A$2:A279,A279)=1,1,0)</f>
        <v/>
      </c>
    </row>
    <row r="280">
      <c r="A280" s="6" t="inlineStr">
        <is>
          <t>PO-1250</t>
        </is>
      </c>
      <c r="B280" s="6" t="inlineStr">
        <is>
          <t>SUP-001</t>
        </is>
      </c>
      <c r="C280" s="6" t="inlineStr">
        <is>
          <t>GPU Servers</t>
        </is>
      </c>
      <c r="D280" s="6" t="n">
        <v>8471.5</v>
      </c>
      <c r="E280" s="26" t="n">
        <v>46096</v>
      </c>
      <c r="F280" s="6" t="n">
        <v>20</v>
      </c>
      <c r="G280" s="27" t="n">
        <v>22724.48</v>
      </c>
      <c r="H280" s="6" t="inlineStr">
        <is>
          <t>DDP</t>
        </is>
      </c>
      <c r="I280" s="6" t="inlineStr">
        <is>
          <t>Air</t>
        </is>
      </c>
      <c r="J280" s="26" t="n">
        <v>46109</v>
      </c>
      <c r="K280" s="26" t="n">
        <v>46107</v>
      </c>
      <c r="L280" s="6" t="n">
        <v>1</v>
      </c>
      <c r="M280" s="6" t="inlineStr">
        <is>
          <t>N</t>
        </is>
      </c>
      <c r="N280" s="6" t="inlineStr">
        <is>
          <t>Delivered</t>
        </is>
      </c>
      <c r="O280" s="6">
        <f>IF(K280="",0,K280-E280)</f>
        <v/>
      </c>
      <c r="P280" s="6">
        <f>IF(N280&lt;&gt;"Delivered","",IF(K280&lt;=J280,1,0))</f>
        <v/>
      </c>
      <c r="Q280" s="6">
        <f>IFERROR(INDEX(Raw_Suppliers!$C$2:$C$4,MATCH(B280,Raw_Suppliers!$A$2:$A$4,0)),"")</f>
        <v/>
      </c>
      <c r="R280" s="6">
        <f>Q280&amp;"|"&amp;D280</f>
        <v/>
      </c>
      <c r="S280" s="28">
        <f>IFERROR(INDEX(Raw_Tariff_Ref!$H$2:$H$10,MATCH(R280,Raw_Tariff_Ref!$I$2:$I$10,0)),0)</f>
        <v/>
      </c>
      <c r="T280" s="27">
        <f>IF(G280="","",G280*F280)</f>
        <v/>
      </c>
      <c r="U280" s="27">
        <f>IF(G280="","",G280*(1+S280))</f>
        <v/>
      </c>
      <c r="V280" s="27">
        <f>IF(U280="","",U280*F280)</f>
        <v/>
      </c>
      <c r="W280" s="6">
        <f>IF(COUNTIF($A$2:A280,A280)=1,1,0)</f>
        <v/>
      </c>
    </row>
    <row r="281">
      <c r="A281" s="6" t="inlineStr">
        <is>
          <t>PO-1312</t>
        </is>
      </c>
      <c r="B281" s="6" t="inlineStr">
        <is>
          <t>SUP-002</t>
        </is>
      </c>
      <c r="C281" s="6" t="inlineStr">
        <is>
          <t>GPU Servers</t>
        </is>
      </c>
      <c r="D281" s="6" t="n">
        <v>8471.5</v>
      </c>
      <c r="E281" s="26" t="n">
        <v>46099</v>
      </c>
      <c r="F281" s="6" t="n">
        <v>5</v>
      </c>
      <c r="G281" s="27" t="n">
        <v>17064.43</v>
      </c>
      <c r="H281" s="6" t="inlineStr">
        <is>
          <t>CIF</t>
        </is>
      </c>
      <c r="I281" s="6" t="inlineStr">
        <is>
          <t>Truck</t>
        </is>
      </c>
      <c r="J281" s="26" t="n">
        <v>46119</v>
      </c>
      <c r="K281" s="26" t="n">
        <v>46117</v>
      </c>
      <c r="L281" s="6" t="n">
        <v>1</v>
      </c>
      <c r="M281" s="6" t="inlineStr">
        <is>
          <t>N</t>
        </is>
      </c>
      <c r="N281" s="6" t="inlineStr">
        <is>
          <t>Delivered</t>
        </is>
      </c>
      <c r="O281" s="6">
        <f>IF(K281="",0,K281-E281)</f>
        <v/>
      </c>
      <c r="P281" s="6">
        <f>IF(N281&lt;&gt;"Delivered","",IF(K281&lt;=J281,1,0))</f>
        <v/>
      </c>
      <c r="Q281" s="6">
        <f>IFERROR(INDEX(Raw_Suppliers!$C$2:$C$4,MATCH(B281,Raw_Suppliers!$A$2:$A$4,0)),"")</f>
        <v/>
      </c>
      <c r="R281" s="6">
        <f>Q281&amp;"|"&amp;D281</f>
        <v/>
      </c>
      <c r="S281" s="28">
        <f>IFERROR(INDEX(Raw_Tariff_Ref!$H$2:$H$10,MATCH(R281,Raw_Tariff_Ref!$I$2:$I$10,0)),0)</f>
        <v/>
      </c>
      <c r="T281" s="27">
        <f>IF(G281="","",G281*F281)</f>
        <v/>
      </c>
      <c r="U281" s="27">
        <f>IF(G281="","",G281*(1+S281))</f>
        <v/>
      </c>
      <c r="V281" s="27">
        <f>IF(U281="","",U281*F281)</f>
        <v/>
      </c>
      <c r="W281" s="6">
        <f>IF(COUNTIF($A$2:A281,A281)=1,1,0)</f>
        <v/>
      </c>
    </row>
    <row r="282">
      <c r="A282" s="6" t="inlineStr">
        <is>
          <t>PO-1217</t>
        </is>
      </c>
      <c r="B282" s="6" t="inlineStr">
        <is>
          <t>SUP-002</t>
        </is>
      </c>
      <c r="C282" s="6" t="inlineStr">
        <is>
          <t>Network Switches</t>
        </is>
      </c>
      <c r="D282" s="6" t="n">
        <v>8517.620000000001</v>
      </c>
      <c r="E282" s="26" t="n">
        <v>46100</v>
      </c>
      <c r="F282" s="6" t="n">
        <v>12</v>
      </c>
      <c r="G282" s="27" t="n">
        <v>4263.09</v>
      </c>
      <c r="H282" s="6" t="inlineStr">
        <is>
          <t>cif</t>
        </is>
      </c>
      <c r="I282" s="6" t="inlineStr">
        <is>
          <t>Ocean</t>
        </is>
      </c>
      <c r="J282" s="26" t="n">
        <v>46118</v>
      </c>
      <c r="K282" s="26" t="n">
        <v>46116</v>
      </c>
      <c r="L282" s="6" t="n">
        <v>4</v>
      </c>
      <c r="M282" s="6" t="inlineStr">
        <is>
          <t>N</t>
        </is>
      </c>
      <c r="N282" s="6" t="inlineStr">
        <is>
          <t>Delivered</t>
        </is>
      </c>
      <c r="O282" s="6">
        <f>IF(K282="",0,K282-E282)</f>
        <v/>
      </c>
      <c r="P282" s="6">
        <f>IF(N282&lt;&gt;"Delivered","",IF(K282&lt;=J282,1,0))</f>
        <v/>
      </c>
      <c r="Q282" s="6">
        <f>IFERROR(INDEX(Raw_Suppliers!$C$2:$C$4,MATCH(B282,Raw_Suppliers!$A$2:$A$4,0)),"")</f>
        <v/>
      </c>
      <c r="R282" s="6">
        <f>Q282&amp;"|"&amp;D282</f>
        <v/>
      </c>
      <c r="S282" s="28">
        <f>IFERROR(INDEX(Raw_Tariff_Ref!$H$2:$H$10,MATCH(R282,Raw_Tariff_Ref!$I$2:$I$10,0)),0)</f>
        <v/>
      </c>
      <c r="T282" s="27">
        <f>IF(G282="","",G282*F282)</f>
        <v/>
      </c>
      <c r="U282" s="27">
        <f>IF(G282="","",G282*(1+S282))</f>
        <v/>
      </c>
      <c r="V282" s="27">
        <f>IF(U282="","",U282*F282)</f>
        <v/>
      </c>
      <c r="W282" s="6">
        <f>IF(COUNTIF($A$2:A282,A282)=1,1,0)</f>
        <v/>
      </c>
    </row>
    <row r="283">
      <c r="A283" s="6" t="inlineStr">
        <is>
          <t>PO-1116</t>
        </is>
      </c>
      <c r="B283" s="6" t="inlineStr">
        <is>
          <t>SUP-003</t>
        </is>
      </c>
      <c r="C283" s="6" t="inlineStr">
        <is>
          <t>Network Switches</t>
        </is>
      </c>
      <c r="D283" s="6" t="n">
        <v>8517.620000000001</v>
      </c>
      <c r="E283" s="26" t="n">
        <v>46100</v>
      </c>
      <c r="F283" s="6" t="n">
        <v>12</v>
      </c>
      <c r="G283" s="27" t="n">
        <v>3176.71</v>
      </c>
      <c r="H283" s="6" t="inlineStr">
        <is>
          <t>CIF</t>
        </is>
      </c>
      <c r="I283" s="6" t="inlineStr">
        <is>
          <t>Air</t>
        </is>
      </c>
      <c r="J283" s="26" t="n">
        <v>46126</v>
      </c>
      <c r="K283" s="26" t="n">
        <v>46125</v>
      </c>
      <c r="L283" s="6" t="n">
        <v>4</v>
      </c>
      <c r="M283" s="6" t="inlineStr">
        <is>
          <t>N</t>
        </is>
      </c>
      <c r="N283" s="6" t="inlineStr">
        <is>
          <t>Delivered</t>
        </is>
      </c>
      <c r="O283" s="6">
        <f>IF(K283="",0,K283-E283)</f>
        <v/>
      </c>
      <c r="P283" s="6">
        <f>IF(N283&lt;&gt;"Delivered","",IF(K283&lt;=J283,1,0))</f>
        <v/>
      </c>
      <c r="Q283" s="6">
        <f>IFERROR(INDEX(Raw_Suppliers!$C$2:$C$4,MATCH(B283,Raw_Suppliers!$A$2:$A$4,0)),"")</f>
        <v/>
      </c>
      <c r="R283" s="6">
        <f>Q283&amp;"|"&amp;D283</f>
        <v/>
      </c>
      <c r="S283" s="28">
        <f>IFERROR(INDEX(Raw_Tariff_Ref!$H$2:$H$10,MATCH(R283,Raw_Tariff_Ref!$I$2:$I$10,0)),0)</f>
        <v/>
      </c>
      <c r="T283" s="27">
        <f>IF(G283="","",G283*F283)</f>
        <v/>
      </c>
      <c r="U283" s="27">
        <f>IF(G283="","",G283*(1+S283))</f>
        <v/>
      </c>
      <c r="V283" s="27">
        <f>IF(U283="","",U283*F283)</f>
        <v/>
      </c>
      <c r="W283" s="6">
        <f>IF(COUNTIF($A$2:A283,A283)=1,1,0)</f>
        <v/>
      </c>
    </row>
    <row r="284">
      <c r="A284" s="6" t="inlineStr">
        <is>
          <t>PO-1059</t>
        </is>
      </c>
      <c r="B284" s="6" t="inlineStr">
        <is>
          <t>SUP-003</t>
        </is>
      </c>
      <c r="C284" s="6" t="inlineStr">
        <is>
          <t>Network Switches</t>
        </is>
      </c>
      <c r="D284" s="6" t="n">
        <v>8517.620000000001</v>
      </c>
      <c r="E284" s="26" t="n">
        <v>46101</v>
      </c>
      <c r="F284" s="6" t="n">
        <v>25</v>
      </c>
      <c r="G284" s="27" t="n">
        <v>2666.12</v>
      </c>
      <c r="H284" s="6" t="inlineStr">
        <is>
          <t>EXW</t>
        </is>
      </c>
      <c r="I284" s="6" t="inlineStr">
        <is>
          <t>Air</t>
        </is>
      </c>
      <c r="J284" s="26" t="n">
        <v>46137</v>
      </c>
      <c r="K284" s="26" t="n">
        <v>46143</v>
      </c>
      <c r="L284" s="6" t="n">
        <v>10</v>
      </c>
      <c r="M284" s="6" t="inlineStr">
        <is>
          <t>N</t>
        </is>
      </c>
      <c r="N284" s="6" t="inlineStr">
        <is>
          <t>Delivered</t>
        </is>
      </c>
      <c r="O284" s="6">
        <f>IF(K284="",0,K284-E284)</f>
        <v/>
      </c>
      <c r="P284" s="6">
        <f>IF(N284&lt;&gt;"Delivered","",IF(K284&lt;=J284,1,0))</f>
        <v/>
      </c>
      <c r="Q284" s="6">
        <f>IFERROR(INDEX(Raw_Suppliers!$C$2:$C$4,MATCH(B284,Raw_Suppliers!$A$2:$A$4,0)),"")</f>
        <v/>
      </c>
      <c r="R284" s="6">
        <f>Q284&amp;"|"&amp;D284</f>
        <v/>
      </c>
      <c r="S284" s="28">
        <f>IFERROR(INDEX(Raw_Tariff_Ref!$H$2:$H$10,MATCH(R284,Raw_Tariff_Ref!$I$2:$I$10,0)),0)</f>
        <v/>
      </c>
      <c r="T284" s="27">
        <f>IF(G284="","",G284*F284)</f>
        <v/>
      </c>
      <c r="U284" s="27">
        <f>IF(G284="","",G284*(1+S284))</f>
        <v/>
      </c>
      <c r="V284" s="27">
        <f>IF(U284="","",U284*F284)</f>
        <v/>
      </c>
      <c r="W284" s="6">
        <f>IF(COUNTIF($A$2:A284,A284)=1,1,0)</f>
        <v/>
      </c>
    </row>
    <row r="285">
      <c r="A285" s="6" t="inlineStr">
        <is>
          <t>PO-1115</t>
        </is>
      </c>
      <c r="B285" s="6" t="inlineStr">
        <is>
          <t>SUP-003</t>
        </is>
      </c>
      <c r="C285" s="6" t="inlineStr">
        <is>
          <t>PDU / MEP Equipment</t>
        </is>
      </c>
      <c r="D285" s="6" t="n">
        <v>8537.1</v>
      </c>
      <c r="E285" s="26" t="n">
        <v>46103</v>
      </c>
      <c r="F285" s="6" t="n">
        <v>16</v>
      </c>
      <c r="G285" s="27" t="n">
        <v>2423.61</v>
      </c>
      <c r="H285" s="6" t="inlineStr">
        <is>
          <t>FOB</t>
        </is>
      </c>
      <c r="I285" s="6" t="inlineStr">
        <is>
          <t>air</t>
        </is>
      </c>
      <c r="J285" s="26" t="n">
        <v>46136</v>
      </c>
      <c r="K285" s="26" t="n">
        <v>46134</v>
      </c>
      <c r="L285" s="6" t="n">
        <v>9</v>
      </c>
      <c r="M285" s="6" t="inlineStr">
        <is>
          <t>N</t>
        </is>
      </c>
      <c r="N285" s="6" t="inlineStr">
        <is>
          <t>Delivered</t>
        </is>
      </c>
      <c r="O285" s="6">
        <f>IF(K285="",0,K285-E285)</f>
        <v/>
      </c>
      <c r="P285" s="6">
        <f>IF(N285&lt;&gt;"Delivered","",IF(K285&lt;=J285,1,0))</f>
        <v/>
      </c>
      <c r="Q285" s="6">
        <f>IFERROR(INDEX(Raw_Suppliers!$C$2:$C$4,MATCH(B285,Raw_Suppliers!$A$2:$A$4,0)),"")</f>
        <v/>
      </c>
      <c r="R285" s="6">
        <f>Q285&amp;"|"&amp;D285</f>
        <v/>
      </c>
      <c r="S285" s="28">
        <f>IFERROR(INDEX(Raw_Tariff_Ref!$H$2:$H$10,MATCH(R285,Raw_Tariff_Ref!$I$2:$I$10,0)),0)</f>
        <v/>
      </c>
      <c r="T285" s="27">
        <f>IF(G285="","",G285*F285)</f>
        <v/>
      </c>
      <c r="U285" s="27">
        <f>IF(G285="","",G285*(1+S285))</f>
        <v/>
      </c>
      <c r="V285" s="27">
        <f>IF(U285="","",U285*F285)</f>
        <v/>
      </c>
      <c r="W285" s="6">
        <f>IF(COUNTIF($A$2:A285,A285)=1,1,0)</f>
        <v/>
      </c>
    </row>
    <row r="286">
      <c r="A286" s="6" t="inlineStr">
        <is>
          <t>PO-1076</t>
        </is>
      </c>
      <c r="B286" s="6" t="inlineStr">
        <is>
          <t>SUP-001</t>
        </is>
      </c>
      <c r="C286" s="6" t="inlineStr">
        <is>
          <t>GPU Servers</t>
        </is>
      </c>
      <c r="D286" s="6" t="n">
        <v>8471.5</v>
      </c>
      <c r="E286" s="26" t="n">
        <v>46105</v>
      </c>
      <c r="F286" s="6" t="n">
        <v>10</v>
      </c>
      <c r="G286" s="27" t="n">
        <v>18744.65</v>
      </c>
      <c r="H286" s="6" t="inlineStr">
        <is>
          <t>FOB</t>
        </is>
      </c>
      <c r="I286" s="6" t="inlineStr">
        <is>
          <t>Truck</t>
        </is>
      </c>
      <c r="J286" s="26" t="n">
        <v>46114</v>
      </c>
      <c r="K286" s="26" t="n">
        <v>46114</v>
      </c>
      <c r="L286" s="6" t="n">
        <v>1</v>
      </c>
      <c r="M286" s="6" t="inlineStr">
        <is>
          <t>Y</t>
        </is>
      </c>
      <c r="N286" s="6" t="inlineStr">
        <is>
          <t>Delivered</t>
        </is>
      </c>
      <c r="O286" s="6">
        <f>IF(K286="",0,K286-E286)</f>
        <v/>
      </c>
      <c r="P286" s="6">
        <f>IF(N286&lt;&gt;"Delivered","",IF(K286&lt;=J286,1,0))</f>
        <v/>
      </c>
      <c r="Q286" s="6">
        <f>IFERROR(INDEX(Raw_Suppliers!$C$2:$C$4,MATCH(B286,Raw_Suppliers!$A$2:$A$4,0)),"")</f>
        <v/>
      </c>
      <c r="R286" s="6">
        <f>Q286&amp;"|"&amp;D286</f>
        <v/>
      </c>
      <c r="S286" s="28">
        <f>IFERROR(INDEX(Raw_Tariff_Ref!$H$2:$H$10,MATCH(R286,Raw_Tariff_Ref!$I$2:$I$10,0)),0)</f>
        <v/>
      </c>
      <c r="T286" s="27">
        <f>IF(G286="","",G286*F286)</f>
        <v/>
      </c>
      <c r="U286" s="27">
        <f>IF(G286="","",G286*(1+S286))</f>
        <v/>
      </c>
      <c r="V286" s="27">
        <f>IF(U286="","",U286*F286)</f>
        <v/>
      </c>
      <c r="W286" s="6">
        <f>IF(COUNTIF($A$2:A286,A286)=1,1,0)</f>
        <v/>
      </c>
    </row>
    <row r="287">
      <c r="A287" s="6" t="inlineStr">
        <is>
          <t>PO-1127</t>
        </is>
      </c>
      <c r="B287" s="6" t="inlineStr">
        <is>
          <t>SUP-003</t>
        </is>
      </c>
      <c r="C287" s="6" t="inlineStr">
        <is>
          <t>PDU / MEP Equipment</t>
        </is>
      </c>
      <c r="D287" s="6" t="n">
        <v>8537.1</v>
      </c>
      <c r="E287" s="26" t="n">
        <v>46109</v>
      </c>
      <c r="F287" s="6" t="n">
        <v>12</v>
      </c>
      <c r="G287" s="27" t="n">
        <v>2495.89</v>
      </c>
      <c r="H287" s="6" t="inlineStr">
        <is>
          <t>CIF</t>
        </is>
      </c>
      <c r="I287" s="6" t="inlineStr">
        <is>
          <t>Air</t>
        </is>
      </c>
      <c r="J287" s="26" t="n">
        <v>46147</v>
      </c>
      <c r="K287" s="26" t="n">
        <v>46145</v>
      </c>
      <c r="L287" s="6" t="n">
        <v>9</v>
      </c>
      <c r="M287" s="6" t="inlineStr">
        <is>
          <t>N</t>
        </is>
      </c>
      <c r="N287" s="6" t="inlineStr">
        <is>
          <t>Delivered</t>
        </is>
      </c>
      <c r="O287" s="6">
        <f>IF(K287="",0,K287-E287)</f>
        <v/>
      </c>
      <c r="P287" s="6">
        <f>IF(N287&lt;&gt;"Delivered","",IF(K287&lt;=J287,1,0))</f>
        <v/>
      </c>
      <c r="Q287" s="6">
        <f>IFERROR(INDEX(Raw_Suppliers!$C$2:$C$4,MATCH(B287,Raw_Suppliers!$A$2:$A$4,0)),"")</f>
        <v/>
      </c>
      <c r="R287" s="6">
        <f>Q287&amp;"|"&amp;D287</f>
        <v/>
      </c>
      <c r="S287" s="28">
        <f>IFERROR(INDEX(Raw_Tariff_Ref!$H$2:$H$10,MATCH(R287,Raw_Tariff_Ref!$I$2:$I$10,0)),0)</f>
        <v/>
      </c>
      <c r="T287" s="27">
        <f>IF(G287="","",G287*F287)</f>
        <v/>
      </c>
      <c r="U287" s="27">
        <f>IF(G287="","",G287*(1+S287))</f>
        <v/>
      </c>
      <c r="V287" s="27">
        <f>IF(U287="","",U287*F287)</f>
        <v/>
      </c>
      <c r="W287" s="6">
        <f>IF(COUNTIF($A$2:A287,A287)=1,1,0)</f>
        <v/>
      </c>
    </row>
    <row r="288">
      <c r="A288" s="6" t="inlineStr">
        <is>
          <t>PO-1129</t>
        </is>
      </c>
      <c r="B288" s="6" t="inlineStr">
        <is>
          <t>SUP-003</t>
        </is>
      </c>
      <c r="C288" s="6" t="inlineStr">
        <is>
          <t>pdu / mep equipment</t>
        </is>
      </c>
      <c r="D288" s="6" t="n">
        <v>8537.1</v>
      </c>
      <c r="E288" s="26" t="n">
        <v>46109</v>
      </c>
      <c r="F288" s="6" t="n">
        <v>4</v>
      </c>
      <c r="G288" s="27" t="n">
        <v>2179.96</v>
      </c>
      <c r="H288" s="6" t="inlineStr">
        <is>
          <t>FOB</t>
        </is>
      </c>
      <c r="I288" s="6" t="inlineStr">
        <is>
          <t>Air</t>
        </is>
      </c>
      <c r="J288" s="26" t="n">
        <v>46177</v>
      </c>
      <c r="K288" s="26" t="n">
        <v>46177</v>
      </c>
      <c r="L288" s="6" t="n">
        <v>6</v>
      </c>
      <c r="M288" s="6" t="inlineStr">
        <is>
          <t>N</t>
        </is>
      </c>
      <c r="N288" s="6" t="inlineStr">
        <is>
          <t>Delivered</t>
        </is>
      </c>
      <c r="O288" s="6">
        <f>IF(K288="",0,K288-E288)</f>
        <v/>
      </c>
      <c r="P288" s="6">
        <f>IF(N288&lt;&gt;"Delivered","",IF(K288&lt;=J288,1,0))</f>
        <v/>
      </c>
      <c r="Q288" s="6">
        <f>IFERROR(INDEX(Raw_Suppliers!$C$2:$C$4,MATCH(B288,Raw_Suppliers!$A$2:$A$4,0)),"")</f>
        <v/>
      </c>
      <c r="R288" s="6">
        <f>Q288&amp;"|"&amp;D288</f>
        <v/>
      </c>
      <c r="S288" s="28">
        <f>IFERROR(INDEX(Raw_Tariff_Ref!$H$2:$H$10,MATCH(R288,Raw_Tariff_Ref!$I$2:$I$10,0)),0)</f>
        <v/>
      </c>
      <c r="T288" s="27">
        <f>IF(G288="","",G288*F288)</f>
        <v/>
      </c>
      <c r="U288" s="27">
        <f>IF(G288="","",G288*(1+S288))</f>
        <v/>
      </c>
      <c r="V288" s="27">
        <f>IF(U288="","",U288*F288)</f>
        <v/>
      </c>
      <c r="W288" s="6">
        <f>IF(COUNTIF($A$2:A288,A288)=1,1,0)</f>
        <v/>
      </c>
    </row>
    <row r="289">
      <c r="A289" s="6" t="inlineStr">
        <is>
          <t>PO-1249</t>
        </is>
      </c>
      <c r="B289" s="6" t="inlineStr">
        <is>
          <t>SUP-003</t>
        </is>
      </c>
      <c r="C289" s="6" t="inlineStr">
        <is>
          <t>PDU / MEP Equipment</t>
        </is>
      </c>
      <c r="D289" s="6" t="n">
        <v>8537.1</v>
      </c>
      <c r="E289" s="26" t="n">
        <v>46111</v>
      </c>
      <c r="F289" s="6" t="n">
        <v>16</v>
      </c>
      <c r="G289" s="27" t="n">
        <v>1884.18</v>
      </c>
      <c r="H289" s="6" t="inlineStr">
        <is>
          <t>EXW</t>
        </is>
      </c>
      <c r="I289" s="6" t="inlineStr">
        <is>
          <t>Air</t>
        </is>
      </c>
      <c r="J289" s="26" t="n">
        <v>46160</v>
      </c>
      <c r="K289" s="26" t="n">
        <v>46166</v>
      </c>
      <c r="L289" s="6" t="n">
        <v>6</v>
      </c>
      <c r="M289" s="6" t="inlineStr">
        <is>
          <t>N</t>
        </is>
      </c>
      <c r="N289" s="6" t="inlineStr">
        <is>
          <t>Delivered</t>
        </is>
      </c>
      <c r="O289" s="6">
        <f>IF(K289="",0,K289-E289)</f>
        <v/>
      </c>
      <c r="P289" s="6">
        <f>IF(N289&lt;&gt;"Delivered","",IF(K289&lt;=J289,1,0))</f>
        <v/>
      </c>
      <c r="Q289" s="6">
        <f>IFERROR(INDEX(Raw_Suppliers!$C$2:$C$4,MATCH(B289,Raw_Suppliers!$A$2:$A$4,0)),"")</f>
        <v/>
      </c>
      <c r="R289" s="6">
        <f>Q289&amp;"|"&amp;D289</f>
        <v/>
      </c>
      <c r="S289" s="28">
        <f>IFERROR(INDEX(Raw_Tariff_Ref!$H$2:$H$10,MATCH(R289,Raw_Tariff_Ref!$I$2:$I$10,0)),0)</f>
        <v/>
      </c>
      <c r="T289" s="27">
        <f>IF(G289="","",G289*F289)</f>
        <v/>
      </c>
      <c r="U289" s="27">
        <f>IF(G289="","",G289*(1+S289))</f>
        <v/>
      </c>
      <c r="V289" s="27">
        <f>IF(U289="","",U289*F289)</f>
        <v/>
      </c>
      <c r="W289" s="6">
        <f>IF(COUNTIF($A$2:A289,A289)=1,1,0)</f>
        <v/>
      </c>
    </row>
    <row r="290">
      <c r="A290" s="6" t="inlineStr">
        <is>
          <t>PO-1081</t>
        </is>
      </c>
      <c r="B290" s="6" t="inlineStr">
        <is>
          <t>SUP-002</t>
        </is>
      </c>
      <c r="C290" s="6" t="inlineStr">
        <is>
          <t>GPU Servers</t>
        </is>
      </c>
      <c r="D290" s="6" t="n">
        <v>8471.5</v>
      </c>
      <c r="E290" s="26" t="n">
        <v>46111</v>
      </c>
      <c r="F290" s="6" t="n">
        <v>4</v>
      </c>
      <c r="G290" s="27" t="n">
        <v>16970.12</v>
      </c>
      <c r="H290" s="6" t="inlineStr">
        <is>
          <t>FOB</t>
        </is>
      </c>
      <c r="I290" s="6" t="inlineStr">
        <is>
          <t>Truck</t>
        </is>
      </c>
      <c r="J290" s="26" t="n">
        <v>46135</v>
      </c>
      <c r="K290" s="26" t="n">
        <v>46151</v>
      </c>
      <c r="L290" s="6" t="n">
        <v>3</v>
      </c>
      <c r="M290" s="6" t="inlineStr">
        <is>
          <t>Y</t>
        </is>
      </c>
      <c r="N290" s="6" t="inlineStr">
        <is>
          <t>Delivered</t>
        </is>
      </c>
      <c r="O290" s="6">
        <f>IF(K290="",0,K290-E290)</f>
        <v/>
      </c>
      <c r="P290" s="6">
        <f>IF(N290&lt;&gt;"Delivered","",IF(K290&lt;=J290,1,0))</f>
        <v/>
      </c>
      <c r="Q290" s="6">
        <f>IFERROR(INDEX(Raw_Suppliers!$C$2:$C$4,MATCH(B290,Raw_Suppliers!$A$2:$A$4,0)),"")</f>
        <v/>
      </c>
      <c r="R290" s="6">
        <f>Q290&amp;"|"&amp;D290</f>
        <v/>
      </c>
      <c r="S290" s="28">
        <f>IFERROR(INDEX(Raw_Tariff_Ref!$H$2:$H$10,MATCH(R290,Raw_Tariff_Ref!$I$2:$I$10,0)),0)</f>
        <v/>
      </c>
      <c r="T290" s="27">
        <f>IF(G290="","",G290*F290)</f>
        <v/>
      </c>
      <c r="U290" s="27">
        <f>IF(G290="","",G290*(1+S290))</f>
        <v/>
      </c>
      <c r="V290" s="27">
        <f>IF(U290="","",U290*F290)</f>
        <v/>
      </c>
      <c r="W290" s="6">
        <f>IF(COUNTIF($A$2:A290,A290)=1,1,0)</f>
        <v/>
      </c>
    </row>
    <row r="291">
      <c r="A291" s="6" t="inlineStr">
        <is>
          <t>PO-1048</t>
        </is>
      </c>
      <c r="B291" s="6" t="inlineStr">
        <is>
          <t>SUP-003</t>
        </is>
      </c>
      <c r="C291" s="6" t="inlineStr">
        <is>
          <t>Network Switches</t>
        </is>
      </c>
      <c r="D291" s="6" t="n">
        <v>8517.620000000001</v>
      </c>
      <c r="E291" s="26" t="n">
        <v>46113</v>
      </c>
      <c r="F291" s="6" t="n">
        <v>8</v>
      </c>
      <c r="G291" s="27" t="n">
        <v>2515.57</v>
      </c>
      <c r="H291" s="6" t="inlineStr">
        <is>
          <t>FOB</t>
        </is>
      </c>
      <c r="I291" s="6" t="inlineStr">
        <is>
          <t>Ocean</t>
        </is>
      </c>
      <c r="J291" s="26" t="n">
        <v>46145</v>
      </c>
      <c r="K291" s="26" t="n">
        <v>46144</v>
      </c>
      <c r="L291" s="6" t="n">
        <v>5</v>
      </c>
      <c r="M291" s="6" t="inlineStr">
        <is>
          <t>N</t>
        </is>
      </c>
      <c r="N291" s="6" t="inlineStr">
        <is>
          <t>Delivered</t>
        </is>
      </c>
      <c r="O291" s="6">
        <f>IF(K291="",0,K291-E291)</f>
        <v/>
      </c>
      <c r="P291" s="6">
        <f>IF(N291&lt;&gt;"Delivered","",IF(K291&lt;=J291,1,0))</f>
        <v/>
      </c>
      <c r="Q291" s="6">
        <f>IFERROR(INDEX(Raw_Suppliers!$C$2:$C$4,MATCH(B291,Raw_Suppliers!$A$2:$A$4,0)),"")</f>
        <v/>
      </c>
      <c r="R291" s="6">
        <f>Q291&amp;"|"&amp;D291</f>
        <v/>
      </c>
      <c r="S291" s="28">
        <f>IFERROR(INDEX(Raw_Tariff_Ref!$H$2:$H$10,MATCH(R291,Raw_Tariff_Ref!$I$2:$I$10,0)),0)</f>
        <v/>
      </c>
      <c r="T291" s="27">
        <f>IF(G291="","",G291*F291)</f>
        <v/>
      </c>
      <c r="U291" s="27">
        <f>IF(G291="","",G291*(1+S291))</f>
        <v/>
      </c>
      <c r="V291" s="27">
        <f>IF(U291="","",U291*F291)</f>
        <v/>
      </c>
      <c r="W291" s="6">
        <f>IF(COUNTIF($A$2:A291,A291)=1,1,0)</f>
        <v/>
      </c>
    </row>
    <row r="292">
      <c r="A292" s="6" t="inlineStr">
        <is>
          <t>PO-1105</t>
        </is>
      </c>
      <c r="B292" s="6" t="inlineStr">
        <is>
          <t>SUP-003</t>
        </is>
      </c>
      <c r="C292" s="6" t="inlineStr">
        <is>
          <t>PDU / MEP Equipment</t>
        </is>
      </c>
      <c r="D292" s="6" t="n">
        <v>8537.1</v>
      </c>
      <c r="E292" s="26" t="n">
        <v>46117</v>
      </c>
      <c r="F292" s="6" t="n">
        <v>12</v>
      </c>
      <c r="G292" s="27" t="n">
        <v>2157.37</v>
      </c>
      <c r="H292" s="6" t="inlineStr">
        <is>
          <t>CIF</t>
        </is>
      </c>
      <c r="I292" s="6" t="inlineStr">
        <is>
          <t>Air</t>
        </is>
      </c>
      <c r="J292" s="26" t="n">
        <v>46154</v>
      </c>
      <c r="K292" s="26" t="n">
        <v>46152</v>
      </c>
      <c r="L292" s="6" t="n">
        <v>11</v>
      </c>
      <c r="M292" s="6" t="inlineStr">
        <is>
          <t>N</t>
        </is>
      </c>
      <c r="N292" s="6" t="inlineStr">
        <is>
          <t>Delivered</t>
        </is>
      </c>
      <c r="O292" s="6">
        <f>IF(K292="",0,K292-E292)</f>
        <v/>
      </c>
      <c r="P292" s="6">
        <f>IF(N292&lt;&gt;"Delivered","",IF(K292&lt;=J292,1,0))</f>
        <v/>
      </c>
      <c r="Q292" s="6">
        <f>IFERROR(INDEX(Raw_Suppliers!$C$2:$C$4,MATCH(B292,Raw_Suppliers!$A$2:$A$4,0)),"")</f>
        <v/>
      </c>
      <c r="R292" s="6">
        <f>Q292&amp;"|"&amp;D292</f>
        <v/>
      </c>
      <c r="S292" s="28">
        <f>IFERROR(INDEX(Raw_Tariff_Ref!$H$2:$H$10,MATCH(R292,Raw_Tariff_Ref!$I$2:$I$10,0)),0)</f>
        <v/>
      </c>
      <c r="T292" s="27">
        <f>IF(G292="","",G292*F292)</f>
        <v/>
      </c>
      <c r="U292" s="27">
        <f>IF(G292="","",G292*(1+S292))</f>
        <v/>
      </c>
      <c r="V292" s="27">
        <f>IF(U292="","",U292*F292)</f>
        <v/>
      </c>
      <c r="W292" s="6">
        <f>IF(COUNTIF($A$2:A292,A292)=1,1,0)</f>
        <v/>
      </c>
    </row>
    <row r="293">
      <c r="A293" s="6" t="inlineStr">
        <is>
          <t>PO-1047</t>
        </is>
      </c>
      <c r="B293" s="6" t="inlineStr">
        <is>
          <t>SUP-002</t>
        </is>
      </c>
      <c r="C293" s="6" t="inlineStr">
        <is>
          <t>GPU Servers</t>
        </is>
      </c>
      <c r="D293" s="6" t="n">
        <v>8471.5</v>
      </c>
      <c r="E293" s="26" t="n">
        <v>46119</v>
      </c>
      <c r="F293" s="6" t="n">
        <v>20</v>
      </c>
      <c r="G293" s="27" t="n">
        <v>19048</v>
      </c>
      <c r="H293" s="6" t="inlineStr">
        <is>
          <t>FOB</t>
        </is>
      </c>
      <c r="I293" s="6" t="inlineStr">
        <is>
          <t>Ocean</t>
        </is>
      </c>
      <c r="J293" s="26" t="n">
        <v>46135</v>
      </c>
      <c r="K293" s="26" t="n">
        <v>46151</v>
      </c>
      <c r="L293" s="6" t="n">
        <v>4</v>
      </c>
      <c r="M293" s="6" t="inlineStr">
        <is>
          <t>N</t>
        </is>
      </c>
      <c r="N293" s="6" t="inlineStr">
        <is>
          <t>Delivered</t>
        </is>
      </c>
      <c r="O293" s="6">
        <f>IF(K293="",0,K293-E293)</f>
        <v/>
      </c>
      <c r="P293" s="6">
        <f>IF(N293&lt;&gt;"Delivered","",IF(K293&lt;=J293,1,0))</f>
        <v/>
      </c>
      <c r="Q293" s="6">
        <f>IFERROR(INDEX(Raw_Suppliers!$C$2:$C$4,MATCH(B293,Raw_Suppliers!$A$2:$A$4,0)),"")</f>
        <v/>
      </c>
      <c r="R293" s="6">
        <f>Q293&amp;"|"&amp;D293</f>
        <v/>
      </c>
      <c r="S293" s="28">
        <f>IFERROR(INDEX(Raw_Tariff_Ref!$H$2:$H$10,MATCH(R293,Raw_Tariff_Ref!$I$2:$I$10,0)),0)</f>
        <v/>
      </c>
      <c r="T293" s="27">
        <f>IF(G293="","",G293*F293)</f>
        <v/>
      </c>
      <c r="U293" s="27">
        <f>IF(G293="","",G293*(1+S293))</f>
        <v/>
      </c>
      <c r="V293" s="27">
        <f>IF(U293="","",U293*F293)</f>
        <v/>
      </c>
      <c r="W293" s="6">
        <f>IF(COUNTIF($A$2:A293,A293)=1,1,0)</f>
        <v/>
      </c>
    </row>
    <row r="294">
      <c r="A294" s="6" t="inlineStr">
        <is>
          <t>PO-1211</t>
        </is>
      </c>
      <c r="B294" s="6" t="inlineStr">
        <is>
          <t>SUP-003</t>
        </is>
      </c>
      <c r="C294" s="6" t="inlineStr">
        <is>
          <t>Network Switches</t>
        </is>
      </c>
      <c r="D294" s="6" t="n">
        <v>8517.620000000001</v>
      </c>
      <c r="E294" s="26" t="n">
        <v>46122</v>
      </c>
      <c r="F294" s="6" t="n">
        <v>16</v>
      </c>
      <c r="G294" s="27" t="n">
        <v>2078.23</v>
      </c>
      <c r="H294" s="6" t="inlineStr">
        <is>
          <t>CIF</t>
        </is>
      </c>
      <c r="I294" s="6" t="inlineStr">
        <is>
          <t>Ocean</t>
        </is>
      </c>
      <c r="J294" s="26" t="n">
        <v>46153</v>
      </c>
      <c r="K294" s="26" t="n">
        <v>46179</v>
      </c>
      <c r="L294" s="6" t="n">
        <v>8</v>
      </c>
      <c r="M294" s="6" t="inlineStr">
        <is>
          <t>N</t>
        </is>
      </c>
      <c r="N294" s="6" t="inlineStr">
        <is>
          <t>Delivered</t>
        </is>
      </c>
      <c r="O294" s="6">
        <f>IF(K294="",0,K294-E294)</f>
        <v/>
      </c>
      <c r="P294" s="6">
        <f>IF(N294&lt;&gt;"Delivered","",IF(K294&lt;=J294,1,0))</f>
        <v/>
      </c>
      <c r="Q294" s="6">
        <f>IFERROR(INDEX(Raw_Suppliers!$C$2:$C$4,MATCH(B294,Raw_Suppliers!$A$2:$A$4,0)),"")</f>
        <v/>
      </c>
      <c r="R294" s="6">
        <f>Q294&amp;"|"&amp;D294</f>
        <v/>
      </c>
      <c r="S294" s="28">
        <f>IFERROR(INDEX(Raw_Tariff_Ref!$H$2:$H$10,MATCH(R294,Raw_Tariff_Ref!$I$2:$I$10,0)),0)</f>
        <v/>
      </c>
      <c r="T294" s="27">
        <f>IF(G294="","",G294*F294)</f>
        <v/>
      </c>
      <c r="U294" s="27">
        <f>IF(G294="","",G294*(1+S294))</f>
        <v/>
      </c>
      <c r="V294" s="27">
        <f>IF(U294="","",U294*F294)</f>
        <v/>
      </c>
      <c r="W294" s="6">
        <f>IF(COUNTIF($A$2:A294,A294)=1,1,0)</f>
        <v/>
      </c>
    </row>
    <row r="295">
      <c r="A295" s="6" t="inlineStr">
        <is>
          <t>PO-1267</t>
        </is>
      </c>
      <c r="B295" s="6" t="inlineStr">
        <is>
          <t>SUP-001</t>
        </is>
      </c>
      <c r="C295" s="6" t="inlineStr">
        <is>
          <t>GPU Servers</t>
        </is>
      </c>
      <c r="D295" s="6" t="n">
        <v>8471.5</v>
      </c>
      <c r="E295" s="26" t="n">
        <v>46123</v>
      </c>
      <c r="F295" s="6" t="n">
        <v>20</v>
      </c>
      <c r="G295" s="27" t="n">
        <v>19032.22</v>
      </c>
      <c r="H295" s="6" t="inlineStr">
        <is>
          <t>FOB</t>
        </is>
      </c>
      <c r="I295" s="6" t="inlineStr">
        <is>
          <t>truck</t>
        </is>
      </c>
      <c r="J295" s="26" t="n">
        <v>46132</v>
      </c>
      <c r="K295" s="26" t="n">
        <v>46130</v>
      </c>
      <c r="L295" s="6" t="n">
        <v>0</v>
      </c>
      <c r="M295" s="6" t="inlineStr">
        <is>
          <t>N</t>
        </is>
      </c>
      <c r="N295" s="6" t="inlineStr">
        <is>
          <t>Delivered</t>
        </is>
      </c>
      <c r="O295" s="6">
        <f>IF(K295="",0,K295-E295)</f>
        <v/>
      </c>
      <c r="P295" s="6">
        <f>IF(N295&lt;&gt;"Delivered","",IF(K295&lt;=J295,1,0))</f>
        <v/>
      </c>
      <c r="Q295" s="6">
        <f>IFERROR(INDEX(Raw_Suppliers!$C$2:$C$4,MATCH(B295,Raw_Suppliers!$A$2:$A$4,0)),"")</f>
        <v/>
      </c>
      <c r="R295" s="6">
        <f>Q295&amp;"|"&amp;D295</f>
        <v/>
      </c>
      <c r="S295" s="28">
        <f>IFERROR(INDEX(Raw_Tariff_Ref!$H$2:$H$10,MATCH(R295,Raw_Tariff_Ref!$I$2:$I$10,0)),0)</f>
        <v/>
      </c>
      <c r="T295" s="27">
        <f>IF(G295="","",G295*F295)</f>
        <v/>
      </c>
      <c r="U295" s="27">
        <f>IF(G295="","",G295*(1+S295))</f>
        <v/>
      </c>
      <c r="V295" s="27">
        <f>IF(U295="","",U295*F295)</f>
        <v/>
      </c>
      <c r="W295" s="6">
        <f>IF(COUNTIF($A$2:A295,A295)=1,1,0)</f>
        <v/>
      </c>
    </row>
    <row r="296">
      <c r="A296" s="6" t="inlineStr">
        <is>
          <t>PO-1258</t>
        </is>
      </c>
      <c r="B296" s="6" t="inlineStr">
        <is>
          <t>SUP-003</t>
        </is>
      </c>
      <c r="C296" s="6" t="inlineStr">
        <is>
          <t>PDU / MEP Equipment</t>
        </is>
      </c>
      <c r="D296" s="6" t="n">
        <v>8537.1</v>
      </c>
      <c r="E296" s="26" t="n">
        <v>46123</v>
      </c>
      <c r="F296" s="6" t="n">
        <v>2</v>
      </c>
      <c r="G296" s="27" t="n">
        <v>1950.96</v>
      </c>
      <c r="H296" s="6" t="inlineStr">
        <is>
          <t>EXW</t>
        </is>
      </c>
      <c r="I296" s="6" t="inlineStr">
        <is>
          <t>Air</t>
        </is>
      </c>
      <c r="J296" s="26" t="n">
        <v>46141</v>
      </c>
      <c r="K296" s="26" t="n">
        <v>46140</v>
      </c>
      <c r="L296" s="6" t="n">
        <v>4</v>
      </c>
      <c r="M296" s="6" t="inlineStr">
        <is>
          <t>N</t>
        </is>
      </c>
      <c r="N296" s="6" t="inlineStr">
        <is>
          <t>Delivered</t>
        </is>
      </c>
      <c r="O296" s="6">
        <f>IF(K296="",0,K296-E296)</f>
        <v/>
      </c>
      <c r="P296" s="6">
        <f>IF(N296&lt;&gt;"Delivered","",IF(K296&lt;=J296,1,0))</f>
        <v/>
      </c>
      <c r="Q296" s="6">
        <f>IFERROR(INDEX(Raw_Suppliers!$C$2:$C$4,MATCH(B296,Raw_Suppliers!$A$2:$A$4,0)),"")</f>
        <v/>
      </c>
      <c r="R296" s="6">
        <f>Q296&amp;"|"&amp;D296</f>
        <v/>
      </c>
      <c r="S296" s="28">
        <f>IFERROR(INDEX(Raw_Tariff_Ref!$H$2:$H$10,MATCH(R296,Raw_Tariff_Ref!$I$2:$I$10,0)),0)</f>
        <v/>
      </c>
      <c r="T296" s="27">
        <f>IF(G296="","",G296*F296)</f>
        <v/>
      </c>
      <c r="U296" s="27">
        <f>IF(G296="","",G296*(1+S296))</f>
        <v/>
      </c>
      <c r="V296" s="27">
        <f>IF(U296="","",U296*F296)</f>
        <v/>
      </c>
      <c r="W296" s="6">
        <f>IF(COUNTIF($A$2:A296,A296)=1,1,0)</f>
        <v/>
      </c>
    </row>
    <row r="297">
      <c r="A297" s="6" t="inlineStr">
        <is>
          <t>PO-1220</t>
        </is>
      </c>
      <c r="B297" s="6" t="inlineStr">
        <is>
          <t>SUP-002</t>
        </is>
      </c>
      <c r="C297" s="6" t="inlineStr">
        <is>
          <t>Network Switches</t>
        </is>
      </c>
      <c r="D297" s="6" t="n">
        <v>8517.620000000001</v>
      </c>
      <c r="E297" s="26" t="n">
        <v>46123</v>
      </c>
      <c r="F297" s="6" t="n">
        <v>25</v>
      </c>
      <c r="G297" s="27" t="n">
        <v>4327.06</v>
      </c>
      <c r="H297" s="6" t="inlineStr">
        <is>
          <t>FOB</t>
        </is>
      </c>
      <c r="I297" s="6" t="inlineStr">
        <is>
          <t>Truck</t>
        </is>
      </c>
      <c r="J297" s="26" t="n">
        <v>46149</v>
      </c>
      <c r="K297" s="26" t="n">
        <v>46152</v>
      </c>
      <c r="L297" s="6" t="n">
        <v>3</v>
      </c>
      <c r="M297" s="6" t="inlineStr">
        <is>
          <t>N</t>
        </is>
      </c>
      <c r="N297" s="6" t="inlineStr">
        <is>
          <t>Delivered</t>
        </is>
      </c>
      <c r="O297" s="6">
        <f>IF(K297="",0,K297-E297)</f>
        <v/>
      </c>
      <c r="P297" s="6">
        <f>IF(N297&lt;&gt;"Delivered","",IF(K297&lt;=J297,1,0))</f>
        <v/>
      </c>
      <c r="Q297" s="6">
        <f>IFERROR(INDEX(Raw_Suppliers!$C$2:$C$4,MATCH(B297,Raw_Suppliers!$A$2:$A$4,0)),"")</f>
        <v/>
      </c>
      <c r="R297" s="6">
        <f>Q297&amp;"|"&amp;D297</f>
        <v/>
      </c>
      <c r="S297" s="28">
        <f>IFERROR(INDEX(Raw_Tariff_Ref!$H$2:$H$10,MATCH(R297,Raw_Tariff_Ref!$I$2:$I$10,0)),0)</f>
        <v/>
      </c>
      <c r="T297" s="27">
        <f>IF(G297="","",G297*F297)</f>
        <v/>
      </c>
      <c r="U297" s="27">
        <f>IF(G297="","",G297*(1+S297))</f>
        <v/>
      </c>
      <c r="V297" s="27">
        <f>IF(U297="","",U297*F297)</f>
        <v/>
      </c>
      <c r="W297" s="6">
        <f>IF(COUNTIF($A$2:A297,A297)=1,1,0)</f>
        <v/>
      </c>
    </row>
    <row r="298">
      <c r="A298" s="6" t="inlineStr">
        <is>
          <t>PO-1147</t>
        </is>
      </c>
      <c r="B298" s="6" t="inlineStr">
        <is>
          <t>SUP-003</t>
        </is>
      </c>
      <c r="C298" s="6" t="inlineStr">
        <is>
          <t>PDU / MEP Equipment</t>
        </is>
      </c>
      <c r="D298" s="6" t="n">
        <v>8537.1</v>
      </c>
      <c r="E298" s="26" t="n">
        <v>46124</v>
      </c>
      <c r="F298" s="6" t="n">
        <v>16</v>
      </c>
      <c r="G298" s="27" t="n">
        <v>1607.95</v>
      </c>
      <c r="H298" s="6" t="inlineStr">
        <is>
          <t>CIF</t>
        </is>
      </c>
      <c r="I298" s="6" t="inlineStr">
        <is>
          <t>Air</t>
        </is>
      </c>
      <c r="J298" s="26" t="n">
        <v>46165</v>
      </c>
      <c r="K298" s="26" t="n">
        <v>46168</v>
      </c>
      <c r="L298" s="6" t="n">
        <v>6</v>
      </c>
      <c r="M298" s="6" t="inlineStr">
        <is>
          <t>Y</t>
        </is>
      </c>
      <c r="N298" s="6" t="inlineStr">
        <is>
          <t>Delivered</t>
        </is>
      </c>
      <c r="O298" s="6">
        <f>IF(K298="",0,K298-E298)</f>
        <v/>
      </c>
      <c r="P298" s="6">
        <f>IF(N298&lt;&gt;"Delivered","",IF(K298&lt;=J298,1,0))</f>
        <v/>
      </c>
      <c r="Q298" s="6">
        <f>IFERROR(INDEX(Raw_Suppliers!$C$2:$C$4,MATCH(B298,Raw_Suppliers!$A$2:$A$4,0)),"")</f>
        <v/>
      </c>
      <c r="R298" s="6">
        <f>Q298&amp;"|"&amp;D298</f>
        <v/>
      </c>
      <c r="S298" s="28">
        <f>IFERROR(INDEX(Raw_Tariff_Ref!$H$2:$H$10,MATCH(R298,Raw_Tariff_Ref!$I$2:$I$10,0)),0)</f>
        <v/>
      </c>
      <c r="T298" s="27">
        <f>IF(G298="","",G298*F298)</f>
        <v/>
      </c>
      <c r="U298" s="27">
        <f>IF(G298="","",G298*(1+S298))</f>
        <v/>
      </c>
      <c r="V298" s="27">
        <f>IF(U298="","",U298*F298)</f>
        <v/>
      </c>
      <c r="W298" s="6">
        <f>IF(COUNTIF($A$2:A298,A298)=1,1,0)</f>
        <v/>
      </c>
    </row>
    <row r="299">
      <c r="A299" s="6" t="inlineStr">
        <is>
          <t>PO-1306</t>
        </is>
      </c>
      <c r="B299" s="6" t="inlineStr">
        <is>
          <t>SUP-002</t>
        </is>
      </c>
      <c r="C299" s="6" t="inlineStr">
        <is>
          <t>Network Switches</t>
        </is>
      </c>
      <c r="D299" s="6" t="n">
        <v>8517.620000000001</v>
      </c>
      <c r="E299" s="26" t="n">
        <v>46125</v>
      </c>
      <c r="F299" s="6" t="n">
        <v>4</v>
      </c>
      <c r="G299" s="27" t="n">
        <v>4300.39</v>
      </c>
      <c r="H299" s="6" t="inlineStr">
        <is>
          <t>CIF</t>
        </is>
      </c>
      <c r="I299" s="6" t="inlineStr">
        <is>
          <t>Truck</t>
        </is>
      </c>
      <c r="J299" s="26" t="n">
        <v>46143</v>
      </c>
      <c r="K299" s="26" t="n">
        <v>46142</v>
      </c>
      <c r="L299" s="6" t="n">
        <v>2</v>
      </c>
      <c r="M299" s="6" t="inlineStr">
        <is>
          <t>N</t>
        </is>
      </c>
      <c r="N299" s="6" t="inlineStr">
        <is>
          <t>Delivered</t>
        </is>
      </c>
      <c r="O299" s="6">
        <f>IF(K299="",0,K299-E299)</f>
        <v/>
      </c>
      <c r="P299" s="6">
        <f>IF(N299&lt;&gt;"Delivered","",IF(K299&lt;=J299,1,0))</f>
        <v/>
      </c>
      <c r="Q299" s="6">
        <f>IFERROR(INDEX(Raw_Suppliers!$C$2:$C$4,MATCH(B299,Raw_Suppliers!$A$2:$A$4,0)),"")</f>
        <v/>
      </c>
      <c r="R299" s="6">
        <f>Q299&amp;"|"&amp;D299</f>
        <v/>
      </c>
      <c r="S299" s="28">
        <f>IFERROR(INDEX(Raw_Tariff_Ref!$H$2:$H$10,MATCH(R299,Raw_Tariff_Ref!$I$2:$I$10,0)),0)</f>
        <v/>
      </c>
      <c r="T299" s="27">
        <f>IF(G299="","",G299*F299)</f>
        <v/>
      </c>
      <c r="U299" s="27">
        <f>IF(G299="","",G299*(1+S299))</f>
        <v/>
      </c>
      <c r="V299" s="27">
        <f>IF(U299="","",U299*F299)</f>
        <v/>
      </c>
      <c r="W299" s="6">
        <f>IF(COUNTIF($A$2:A299,A299)=1,1,0)</f>
        <v/>
      </c>
    </row>
    <row r="300">
      <c r="A300" s="6" t="inlineStr">
        <is>
          <t>PO-1255</t>
        </is>
      </c>
      <c r="B300" s="6" t="inlineStr">
        <is>
          <t>SUP-002</t>
        </is>
      </c>
      <c r="C300" s="6" t="inlineStr">
        <is>
          <t>GPU Servers</t>
        </is>
      </c>
      <c r="D300" s="6" t="n">
        <v>8471.5</v>
      </c>
      <c r="E300" s="26" t="n">
        <v>46126</v>
      </c>
      <c r="F300" s="6" t="n">
        <v>2</v>
      </c>
      <c r="G300" s="27" t="n">
        <v>20588.46</v>
      </c>
      <c r="H300" s="6" t="inlineStr">
        <is>
          <t>FOB</t>
        </is>
      </c>
      <c r="I300" s="6" t="inlineStr">
        <is>
          <t>Truck</t>
        </is>
      </c>
      <c r="J300" s="26" t="n">
        <v>46146</v>
      </c>
      <c r="K300" s="26" t="n">
        <v>46145</v>
      </c>
      <c r="L300" s="6" t="n">
        <v>3</v>
      </c>
      <c r="M300" s="6" t="inlineStr">
        <is>
          <t>N</t>
        </is>
      </c>
      <c r="N300" s="6" t="inlineStr">
        <is>
          <t>Delivered</t>
        </is>
      </c>
      <c r="O300" s="6">
        <f>IF(K300="",0,K300-E300)</f>
        <v/>
      </c>
      <c r="P300" s="6">
        <f>IF(N300&lt;&gt;"Delivered","",IF(K300&lt;=J300,1,0))</f>
        <v/>
      </c>
      <c r="Q300" s="6">
        <f>IFERROR(INDEX(Raw_Suppliers!$C$2:$C$4,MATCH(B300,Raw_Suppliers!$A$2:$A$4,0)),"")</f>
        <v/>
      </c>
      <c r="R300" s="6">
        <f>Q300&amp;"|"&amp;D300</f>
        <v/>
      </c>
      <c r="S300" s="28">
        <f>IFERROR(INDEX(Raw_Tariff_Ref!$H$2:$H$10,MATCH(R300,Raw_Tariff_Ref!$I$2:$I$10,0)),0)</f>
        <v/>
      </c>
      <c r="T300" s="27">
        <f>IF(G300="","",G300*F300)</f>
        <v/>
      </c>
      <c r="U300" s="27">
        <f>IF(G300="","",G300*(1+S300))</f>
        <v/>
      </c>
      <c r="V300" s="27">
        <f>IF(U300="","",U300*F300)</f>
        <v/>
      </c>
      <c r="W300" s="6">
        <f>IF(COUNTIF($A$2:A300,A300)=1,1,0)</f>
        <v/>
      </c>
    </row>
    <row r="301">
      <c r="A301" s="6" t="inlineStr">
        <is>
          <t>PO-1054</t>
        </is>
      </c>
      <c r="B301" s="6" t="inlineStr">
        <is>
          <t>SUP-002</t>
        </is>
      </c>
      <c r="C301" s="6" t="inlineStr">
        <is>
          <t>Network Switches</t>
        </is>
      </c>
      <c r="D301" s="6" t="n">
        <v>8517.620000000001</v>
      </c>
      <c r="E301" s="26" t="n">
        <v>46128</v>
      </c>
      <c r="F301" s="6" t="n">
        <v>10</v>
      </c>
      <c r="G301" s="27" t="n">
        <v>4795.62</v>
      </c>
      <c r="H301" s="6" t="inlineStr">
        <is>
          <t>CIF</t>
        </is>
      </c>
      <c r="I301" s="6" t="inlineStr">
        <is>
          <t>Ocean</t>
        </is>
      </c>
      <c r="J301" s="26" t="n">
        <v>46146</v>
      </c>
      <c r="K301" s="26" t="n">
        <v>46145</v>
      </c>
      <c r="L301" s="6" t="n">
        <v>1</v>
      </c>
      <c r="M301" s="6" t="inlineStr">
        <is>
          <t>N</t>
        </is>
      </c>
      <c r="N301" s="6" t="inlineStr">
        <is>
          <t>Delivered</t>
        </is>
      </c>
      <c r="O301" s="6">
        <f>IF(K301="",0,K301-E301)</f>
        <v/>
      </c>
      <c r="P301" s="6">
        <f>IF(N301&lt;&gt;"Delivered","",IF(K301&lt;=J301,1,0))</f>
        <v/>
      </c>
      <c r="Q301" s="6">
        <f>IFERROR(INDEX(Raw_Suppliers!$C$2:$C$4,MATCH(B301,Raw_Suppliers!$A$2:$A$4,0)),"")</f>
        <v/>
      </c>
      <c r="R301" s="6">
        <f>Q301&amp;"|"&amp;D301</f>
        <v/>
      </c>
      <c r="S301" s="28">
        <f>IFERROR(INDEX(Raw_Tariff_Ref!$H$2:$H$10,MATCH(R301,Raw_Tariff_Ref!$I$2:$I$10,0)),0)</f>
        <v/>
      </c>
      <c r="T301" s="27">
        <f>IF(G301="","",G301*F301)</f>
        <v/>
      </c>
      <c r="U301" s="27">
        <f>IF(G301="","",G301*(1+S301))</f>
        <v/>
      </c>
      <c r="V301" s="27">
        <f>IF(U301="","",U301*F301)</f>
        <v/>
      </c>
      <c r="W301" s="6">
        <f>IF(COUNTIF($A$2:A301,A301)=1,1,0)</f>
        <v/>
      </c>
    </row>
    <row r="302">
      <c r="A302" s="6" t="inlineStr">
        <is>
          <t>PO-1046</t>
        </is>
      </c>
      <c r="B302" s="6" t="inlineStr">
        <is>
          <t>SUP-003</t>
        </is>
      </c>
      <c r="C302" s="6" t="inlineStr">
        <is>
          <t>PDU / MEP Equipment</t>
        </is>
      </c>
      <c r="D302" s="6" t="n">
        <v>8537.1</v>
      </c>
      <c r="E302" s="26" t="n">
        <v>46130</v>
      </c>
      <c r="F302" s="6" t="n">
        <v>25</v>
      </c>
      <c r="G302" s="27" t="n">
        <v>1777.23</v>
      </c>
      <c r="H302" s="6" t="inlineStr">
        <is>
          <t>CIF</t>
        </is>
      </c>
      <c r="I302" s="6" t="inlineStr">
        <is>
          <t>Air</t>
        </is>
      </c>
      <c r="J302" s="26" t="n">
        <v>46164</v>
      </c>
      <c r="K302" s="26" t="n">
        <v>46163</v>
      </c>
      <c r="L302" s="6" t="n">
        <v>10</v>
      </c>
      <c r="M302" s="6" t="inlineStr">
        <is>
          <t>N</t>
        </is>
      </c>
      <c r="N302" s="6" t="inlineStr">
        <is>
          <t>Delivered</t>
        </is>
      </c>
      <c r="O302" s="6">
        <f>IF(K302="",0,K302-E302)</f>
        <v/>
      </c>
      <c r="P302" s="6">
        <f>IF(N302&lt;&gt;"Delivered","",IF(K302&lt;=J302,1,0))</f>
        <v/>
      </c>
      <c r="Q302" s="6">
        <f>IFERROR(INDEX(Raw_Suppliers!$C$2:$C$4,MATCH(B302,Raw_Suppliers!$A$2:$A$4,0)),"")</f>
        <v/>
      </c>
      <c r="R302" s="6">
        <f>Q302&amp;"|"&amp;D302</f>
        <v/>
      </c>
      <c r="S302" s="28">
        <f>IFERROR(INDEX(Raw_Tariff_Ref!$H$2:$H$10,MATCH(R302,Raw_Tariff_Ref!$I$2:$I$10,0)),0)</f>
        <v/>
      </c>
      <c r="T302" s="27">
        <f>IF(G302="","",G302*F302)</f>
        <v/>
      </c>
      <c r="U302" s="27">
        <f>IF(G302="","",G302*(1+S302))</f>
        <v/>
      </c>
      <c r="V302" s="27">
        <f>IF(U302="","",U302*F302)</f>
        <v/>
      </c>
      <c r="W302" s="6">
        <f>IF(COUNTIF($A$2:A302,A302)=1,1,0)</f>
        <v/>
      </c>
    </row>
    <row r="303">
      <c r="A303" s="6" t="inlineStr">
        <is>
          <t>PO-1208</t>
        </is>
      </c>
      <c r="B303" s="6" t="inlineStr">
        <is>
          <t>SUP-001</t>
        </is>
      </c>
      <c r="C303" s="6" t="inlineStr">
        <is>
          <t>PDU / MEP Equipment</t>
        </is>
      </c>
      <c r="D303" s="6" t="n">
        <v>8537.1</v>
      </c>
      <c r="E303" s="26" t="n">
        <v>46130</v>
      </c>
      <c r="F303" s="6" t="n">
        <v>20</v>
      </c>
      <c r="G303" s="27" t="n">
        <v>2411.28</v>
      </c>
      <c r="H303" s="6" t="inlineStr">
        <is>
          <t>DDP</t>
        </is>
      </c>
      <c r="I303" s="6" t="inlineStr">
        <is>
          <t>Truck</t>
        </is>
      </c>
      <c r="J303" s="26" t="n">
        <v>46144</v>
      </c>
      <c r="K303" s="26" t="n">
        <v>46144</v>
      </c>
      <c r="L303" s="6" t="n">
        <v>1</v>
      </c>
      <c r="M303" s="6" t="inlineStr">
        <is>
          <t>N</t>
        </is>
      </c>
      <c r="N303" s="6" t="inlineStr">
        <is>
          <t>Delivered</t>
        </is>
      </c>
      <c r="O303" s="6">
        <f>IF(K303="",0,K303-E303)</f>
        <v/>
      </c>
      <c r="P303" s="6">
        <f>IF(N303&lt;&gt;"Delivered","",IF(K303&lt;=J303,1,0))</f>
        <v/>
      </c>
      <c r="Q303" s="6">
        <f>IFERROR(INDEX(Raw_Suppliers!$C$2:$C$4,MATCH(B303,Raw_Suppliers!$A$2:$A$4,0)),"")</f>
        <v/>
      </c>
      <c r="R303" s="6">
        <f>Q303&amp;"|"&amp;D303</f>
        <v/>
      </c>
      <c r="S303" s="28">
        <f>IFERROR(INDEX(Raw_Tariff_Ref!$H$2:$H$10,MATCH(R303,Raw_Tariff_Ref!$I$2:$I$10,0)),0)</f>
        <v/>
      </c>
      <c r="T303" s="27">
        <f>IF(G303="","",G303*F303)</f>
        <v/>
      </c>
      <c r="U303" s="27">
        <f>IF(G303="","",G303*(1+S303))</f>
        <v/>
      </c>
      <c r="V303" s="27">
        <f>IF(U303="","",U303*F303)</f>
        <v/>
      </c>
      <c r="W303" s="6">
        <f>IF(COUNTIF($A$2:A303,A303)=1,1,0)</f>
        <v/>
      </c>
    </row>
    <row r="304">
      <c r="A304" s="6" t="inlineStr">
        <is>
          <t>PO-1151</t>
        </is>
      </c>
      <c r="B304" s="6" t="inlineStr">
        <is>
          <t>SUP-003</t>
        </is>
      </c>
      <c r="C304" s="6" t="inlineStr">
        <is>
          <t>GPU Servers</t>
        </is>
      </c>
      <c r="D304" s="6" t="n">
        <v>8471.5</v>
      </c>
      <c r="E304" s="26" t="n">
        <v>46131</v>
      </c>
      <c r="F304" s="6" t="n">
        <v>40</v>
      </c>
      <c r="G304" s="27" t="n">
        <v>16341.91</v>
      </c>
      <c r="H304" s="6" t="inlineStr">
        <is>
          <t>CIF</t>
        </is>
      </c>
      <c r="I304" s="6" t="inlineStr">
        <is>
          <t>Ocean</t>
        </is>
      </c>
      <c r="J304" s="26" t="n">
        <v>46173</v>
      </c>
      <c r="K304" s="26" t="n">
        <v>46172</v>
      </c>
      <c r="L304" s="6" t="n">
        <v>5</v>
      </c>
      <c r="M304" s="6" t="inlineStr">
        <is>
          <t>N</t>
        </is>
      </c>
      <c r="N304" s="6" t="inlineStr">
        <is>
          <t>Delivered</t>
        </is>
      </c>
      <c r="O304" s="6">
        <f>IF(K304="",0,K304-E304)</f>
        <v/>
      </c>
      <c r="P304" s="6">
        <f>IF(N304&lt;&gt;"Delivered","",IF(K304&lt;=J304,1,0))</f>
        <v/>
      </c>
      <c r="Q304" s="6">
        <f>IFERROR(INDEX(Raw_Suppliers!$C$2:$C$4,MATCH(B304,Raw_Suppliers!$A$2:$A$4,0)),"")</f>
        <v/>
      </c>
      <c r="R304" s="6">
        <f>Q304&amp;"|"&amp;D304</f>
        <v/>
      </c>
      <c r="S304" s="28">
        <f>IFERROR(INDEX(Raw_Tariff_Ref!$H$2:$H$10,MATCH(R304,Raw_Tariff_Ref!$I$2:$I$10,0)),0)</f>
        <v/>
      </c>
      <c r="T304" s="27">
        <f>IF(G304="","",G304*F304)</f>
        <v/>
      </c>
      <c r="U304" s="27">
        <f>IF(G304="","",G304*(1+S304))</f>
        <v/>
      </c>
      <c r="V304" s="27">
        <f>IF(U304="","",U304*F304)</f>
        <v/>
      </c>
      <c r="W304" s="6">
        <f>IF(COUNTIF($A$2:A304,A304)=1,1,0)</f>
        <v/>
      </c>
    </row>
    <row r="305">
      <c r="A305" s="6" t="inlineStr">
        <is>
          <t>PO-1027</t>
        </is>
      </c>
      <c r="B305" s="6" t="inlineStr">
        <is>
          <t>SUP-002</t>
        </is>
      </c>
      <c r="C305" s="6" t="inlineStr">
        <is>
          <t>GPU Servers</t>
        </is>
      </c>
      <c r="D305" s="6" t="n">
        <v>8471.5</v>
      </c>
      <c r="E305" s="26" t="n">
        <v>46131</v>
      </c>
      <c r="F305" s="6" t="n">
        <v>2</v>
      </c>
      <c r="G305" s="27" t="n">
        <v>17719.55</v>
      </c>
      <c r="H305" s="6" t="inlineStr">
        <is>
          <t>FOB</t>
        </is>
      </c>
      <c r="I305" s="6" t="inlineStr">
        <is>
          <t>Truck</t>
        </is>
      </c>
      <c r="J305" s="26" t="n">
        <v>46147</v>
      </c>
      <c r="K305" s="26" t="n">
        <v>46145</v>
      </c>
      <c r="L305" s="6" t="n">
        <v>2</v>
      </c>
      <c r="M305" s="6" t="inlineStr">
        <is>
          <t>N</t>
        </is>
      </c>
      <c r="N305" s="6" t="inlineStr">
        <is>
          <t>Delivered</t>
        </is>
      </c>
      <c r="O305" s="6">
        <f>IF(K305="",0,K305-E305)</f>
        <v/>
      </c>
      <c r="P305" s="6">
        <f>IF(N305&lt;&gt;"Delivered","",IF(K305&lt;=J305,1,0))</f>
        <v/>
      </c>
      <c r="Q305" s="6">
        <f>IFERROR(INDEX(Raw_Suppliers!$C$2:$C$4,MATCH(B305,Raw_Suppliers!$A$2:$A$4,0)),"")</f>
        <v/>
      </c>
      <c r="R305" s="6">
        <f>Q305&amp;"|"&amp;D305</f>
        <v/>
      </c>
      <c r="S305" s="28">
        <f>IFERROR(INDEX(Raw_Tariff_Ref!$H$2:$H$10,MATCH(R305,Raw_Tariff_Ref!$I$2:$I$10,0)),0)</f>
        <v/>
      </c>
      <c r="T305" s="27">
        <f>IF(G305="","",G305*F305)</f>
        <v/>
      </c>
      <c r="U305" s="27">
        <f>IF(G305="","",G305*(1+S305))</f>
        <v/>
      </c>
      <c r="V305" s="27">
        <f>IF(U305="","",U305*F305)</f>
        <v/>
      </c>
      <c r="W305" s="6">
        <f>IF(COUNTIF($A$2:A305,A305)=1,1,0)</f>
        <v/>
      </c>
    </row>
    <row r="306">
      <c r="A306" s="6" t="inlineStr">
        <is>
          <t>PO-1273</t>
        </is>
      </c>
      <c r="B306" s="6" t="inlineStr">
        <is>
          <t>SUP-001</t>
        </is>
      </c>
      <c r="C306" s="6" t="inlineStr">
        <is>
          <t>GPU Servers</t>
        </is>
      </c>
      <c r="D306" s="6" t="n">
        <v>8471.5</v>
      </c>
      <c r="E306" s="26" t="n">
        <v>46132</v>
      </c>
      <c r="F306" s="6" t="n">
        <v>12</v>
      </c>
      <c r="G306" s="27" t="n">
        <v>24025.23</v>
      </c>
      <c r="H306" s="6" t="inlineStr">
        <is>
          <t>DDP</t>
        </is>
      </c>
      <c r="I306" s="6" t="inlineStr">
        <is>
          <t>Truck</t>
        </is>
      </c>
      <c r="J306" s="26" t="n">
        <v>46144</v>
      </c>
      <c r="K306" s="26" t="n">
        <v>46144</v>
      </c>
      <c r="L306" s="6" t="n">
        <v>1</v>
      </c>
      <c r="M306" s="6" t="inlineStr">
        <is>
          <t>N</t>
        </is>
      </c>
      <c r="N306" s="6" t="inlineStr">
        <is>
          <t>Delivered</t>
        </is>
      </c>
      <c r="O306" s="6">
        <f>IF(K306="",0,K306-E306)</f>
        <v/>
      </c>
      <c r="P306" s="6">
        <f>IF(N306&lt;&gt;"Delivered","",IF(K306&lt;=J306,1,0))</f>
        <v/>
      </c>
      <c r="Q306" s="6">
        <f>IFERROR(INDEX(Raw_Suppliers!$C$2:$C$4,MATCH(B306,Raw_Suppliers!$A$2:$A$4,0)),"")</f>
        <v/>
      </c>
      <c r="R306" s="6">
        <f>Q306&amp;"|"&amp;D306</f>
        <v/>
      </c>
      <c r="S306" s="28">
        <f>IFERROR(INDEX(Raw_Tariff_Ref!$H$2:$H$10,MATCH(R306,Raw_Tariff_Ref!$I$2:$I$10,0)),0)</f>
        <v/>
      </c>
      <c r="T306" s="27">
        <f>IF(G306="","",G306*F306)</f>
        <v/>
      </c>
      <c r="U306" s="27">
        <f>IF(G306="","",G306*(1+S306))</f>
        <v/>
      </c>
      <c r="V306" s="27">
        <f>IF(U306="","",U306*F306)</f>
        <v/>
      </c>
      <c r="W306" s="6">
        <f>IF(COUNTIF($A$2:A306,A306)=1,1,0)</f>
        <v/>
      </c>
    </row>
    <row r="307">
      <c r="A307" s="6" t="inlineStr">
        <is>
          <t>PO-1060</t>
        </is>
      </c>
      <c r="B307" s="6" t="inlineStr">
        <is>
          <t>SUP-001</t>
        </is>
      </c>
      <c r="C307" s="6" t="inlineStr">
        <is>
          <t>PDU / MEP Equipment</t>
        </is>
      </c>
      <c r="D307" s="6" t="n">
        <v>8537.1</v>
      </c>
      <c r="E307" s="26" t="n">
        <v>46133</v>
      </c>
      <c r="F307" s="6" t="n">
        <v>5</v>
      </c>
      <c r="G307" s="27" t="n">
        <v>2427.74</v>
      </c>
      <c r="H307" s="6" t="inlineStr">
        <is>
          <t>DDP</t>
        </is>
      </c>
      <c r="I307" s="6" t="inlineStr">
        <is>
          <t>Air</t>
        </is>
      </c>
      <c r="J307" s="26" t="n">
        <v>46140</v>
      </c>
      <c r="K307" s="26" t="n">
        <v>46139</v>
      </c>
      <c r="L307" s="6" t="n">
        <v>1</v>
      </c>
      <c r="M307" s="6" t="inlineStr">
        <is>
          <t>N</t>
        </is>
      </c>
      <c r="N307" s="6" t="inlineStr">
        <is>
          <t>Delivered</t>
        </is>
      </c>
      <c r="O307" s="6">
        <f>IF(K307="",0,K307-E307)</f>
        <v/>
      </c>
      <c r="P307" s="6">
        <f>IF(N307&lt;&gt;"Delivered","",IF(K307&lt;=J307,1,0))</f>
        <v/>
      </c>
      <c r="Q307" s="6">
        <f>IFERROR(INDEX(Raw_Suppliers!$C$2:$C$4,MATCH(B307,Raw_Suppliers!$A$2:$A$4,0)),"")</f>
        <v/>
      </c>
      <c r="R307" s="6">
        <f>Q307&amp;"|"&amp;D307</f>
        <v/>
      </c>
      <c r="S307" s="28">
        <f>IFERROR(INDEX(Raw_Tariff_Ref!$H$2:$H$10,MATCH(R307,Raw_Tariff_Ref!$I$2:$I$10,0)),0)</f>
        <v/>
      </c>
      <c r="T307" s="27">
        <f>IF(G307="","",G307*F307)</f>
        <v/>
      </c>
      <c r="U307" s="27">
        <f>IF(G307="","",G307*(1+S307))</f>
        <v/>
      </c>
      <c r="V307" s="27">
        <f>IF(U307="","",U307*F307)</f>
        <v/>
      </c>
      <c r="W307" s="6">
        <f>IF(COUNTIF($A$2:A307,A307)=1,1,0)</f>
        <v/>
      </c>
    </row>
    <row r="308">
      <c r="A308" s="6" t="inlineStr">
        <is>
          <t>PO-1042</t>
        </is>
      </c>
      <c r="B308" s="6" t="inlineStr">
        <is>
          <t>SUP-001</t>
        </is>
      </c>
      <c r="C308" s="6" t="inlineStr">
        <is>
          <t>PDU / MEP Equipment</t>
        </is>
      </c>
      <c r="D308" s="6" t="n">
        <v>8537.1</v>
      </c>
      <c r="E308" s="26" t="n">
        <v>46139</v>
      </c>
      <c r="F308" s="6" t="n">
        <v>8</v>
      </c>
      <c r="G308" s="27" t="n">
        <v>3645.49</v>
      </c>
      <c r="H308" s="6" t="inlineStr">
        <is>
          <t>FOB</t>
        </is>
      </c>
      <c r="I308" s="6" t="inlineStr">
        <is>
          <t>Truck</t>
        </is>
      </c>
      <c r="J308" s="26" t="n">
        <v>46152</v>
      </c>
      <c r="K308" s="26" t="n">
        <v>46152</v>
      </c>
      <c r="L308" s="6" t="n">
        <v>1</v>
      </c>
      <c r="M308" s="6" t="inlineStr">
        <is>
          <t>N</t>
        </is>
      </c>
      <c r="N308" s="6" t="inlineStr">
        <is>
          <t>Delivered</t>
        </is>
      </c>
      <c r="O308" s="6">
        <f>IF(K308="",0,K308-E308)</f>
        <v/>
      </c>
      <c r="P308" s="6">
        <f>IF(N308&lt;&gt;"Delivered","",IF(K308&lt;=J308,1,0))</f>
        <v/>
      </c>
      <c r="Q308" s="6">
        <f>IFERROR(INDEX(Raw_Suppliers!$C$2:$C$4,MATCH(B308,Raw_Suppliers!$A$2:$A$4,0)),"")</f>
        <v/>
      </c>
      <c r="R308" s="6">
        <f>Q308&amp;"|"&amp;D308</f>
        <v/>
      </c>
      <c r="S308" s="28">
        <f>IFERROR(INDEX(Raw_Tariff_Ref!$H$2:$H$10,MATCH(R308,Raw_Tariff_Ref!$I$2:$I$10,0)),0)</f>
        <v/>
      </c>
      <c r="T308" s="27">
        <f>IF(G308="","",G308*F308)</f>
        <v/>
      </c>
      <c r="U308" s="27">
        <f>IF(G308="","",G308*(1+S308))</f>
        <v/>
      </c>
      <c r="V308" s="27">
        <f>IF(U308="","",U308*F308)</f>
        <v/>
      </c>
      <c r="W308" s="6">
        <f>IF(COUNTIF($A$2:A308,A308)=1,1,0)</f>
        <v/>
      </c>
    </row>
    <row r="309">
      <c r="A309" s="6" t="inlineStr">
        <is>
          <t>PO-1224</t>
        </is>
      </c>
      <c r="B309" s="6" t="inlineStr">
        <is>
          <t>SUP-002</t>
        </is>
      </c>
      <c r="C309" s="6" t="inlineStr">
        <is>
          <t>GPU Servers</t>
        </is>
      </c>
      <c r="D309" s="6" t="n">
        <v>8471.5</v>
      </c>
      <c r="E309" s="26" t="n">
        <v>46140</v>
      </c>
      <c r="F309" s="6" t="n">
        <v>20</v>
      </c>
      <c r="G309" s="27" t="n">
        <v>19468.47</v>
      </c>
      <c r="H309" s="6" t="inlineStr">
        <is>
          <t>CIF</t>
        </is>
      </c>
      <c r="I309" s="6" t="inlineStr">
        <is>
          <t>Truck</t>
        </is>
      </c>
      <c r="J309" s="26" t="n">
        <v>46149</v>
      </c>
      <c r="K309" s="26" t="n">
        <v>46149</v>
      </c>
      <c r="L309" s="6" t="n">
        <v>3</v>
      </c>
      <c r="M309" s="6" t="inlineStr">
        <is>
          <t>N</t>
        </is>
      </c>
      <c r="N309" s="6" t="inlineStr">
        <is>
          <t>Delivered</t>
        </is>
      </c>
      <c r="O309" s="6">
        <f>IF(K309="",0,K309-E309)</f>
        <v/>
      </c>
      <c r="P309" s="6">
        <f>IF(N309&lt;&gt;"Delivered","",IF(K309&lt;=J309,1,0))</f>
        <v/>
      </c>
      <c r="Q309" s="6">
        <f>IFERROR(INDEX(Raw_Suppliers!$C$2:$C$4,MATCH(B309,Raw_Suppliers!$A$2:$A$4,0)),"")</f>
        <v/>
      </c>
      <c r="R309" s="6">
        <f>Q309&amp;"|"&amp;D309</f>
        <v/>
      </c>
      <c r="S309" s="28">
        <f>IFERROR(INDEX(Raw_Tariff_Ref!$H$2:$H$10,MATCH(R309,Raw_Tariff_Ref!$I$2:$I$10,0)),0)</f>
        <v/>
      </c>
      <c r="T309" s="27">
        <f>IF(G309="","",G309*F309)</f>
        <v/>
      </c>
      <c r="U309" s="27">
        <f>IF(G309="","",G309*(1+S309))</f>
        <v/>
      </c>
      <c r="V309" s="27">
        <f>IF(U309="","",U309*F309)</f>
        <v/>
      </c>
      <c r="W309" s="6">
        <f>IF(COUNTIF($A$2:A309,A309)=1,1,0)</f>
        <v/>
      </c>
    </row>
    <row r="310">
      <c r="A310" s="6" t="inlineStr">
        <is>
          <t>PO-1169</t>
        </is>
      </c>
      <c r="B310" s="6" t="inlineStr">
        <is>
          <t>SUP-002</t>
        </is>
      </c>
      <c r="C310" s="6" t="inlineStr">
        <is>
          <t>GPU Servers</t>
        </is>
      </c>
      <c r="D310" s="6" t="n">
        <v>8471.5</v>
      </c>
      <c r="E310" s="26" t="n">
        <v>46141</v>
      </c>
      <c r="F310" s="6" t="n">
        <v>5</v>
      </c>
      <c r="G310" s="27" t="n">
        <v>19255.45</v>
      </c>
      <c r="H310" s="6" t="inlineStr">
        <is>
          <t>FOB</t>
        </is>
      </c>
      <c r="I310" s="6" t="inlineStr">
        <is>
          <t>Truck</t>
        </is>
      </c>
      <c r="J310" s="26" t="n">
        <v>46154</v>
      </c>
      <c r="K310" s="26" t="n">
        <v>46154</v>
      </c>
      <c r="L310" s="6" t="n">
        <v>3</v>
      </c>
      <c r="M310" s="6" t="inlineStr">
        <is>
          <t>N</t>
        </is>
      </c>
      <c r="N310" s="6" t="inlineStr">
        <is>
          <t>Delivered</t>
        </is>
      </c>
      <c r="O310" s="6">
        <f>IF(K310="",0,K310-E310)</f>
        <v/>
      </c>
      <c r="P310" s="6">
        <f>IF(N310&lt;&gt;"Delivered","",IF(K310&lt;=J310,1,0))</f>
        <v/>
      </c>
      <c r="Q310" s="6">
        <f>IFERROR(INDEX(Raw_Suppliers!$C$2:$C$4,MATCH(B310,Raw_Suppliers!$A$2:$A$4,0)),"")</f>
        <v/>
      </c>
      <c r="R310" s="6">
        <f>Q310&amp;"|"&amp;D310</f>
        <v/>
      </c>
      <c r="S310" s="28">
        <f>IFERROR(INDEX(Raw_Tariff_Ref!$H$2:$H$10,MATCH(R310,Raw_Tariff_Ref!$I$2:$I$10,0)),0)</f>
        <v/>
      </c>
      <c r="T310" s="27">
        <f>IF(G310="","",G310*F310)</f>
        <v/>
      </c>
      <c r="U310" s="27">
        <f>IF(G310="","",G310*(1+S310))</f>
        <v/>
      </c>
      <c r="V310" s="27">
        <f>IF(U310="","",U310*F310)</f>
        <v/>
      </c>
      <c r="W310" s="6">
        <f>IF(COUNTIF($A$2:A310,A310)=1,1,0)</f>
        <v/>
      </c>
    </row>
    <row r="311">
      <c r="A311" s="6" t="inlineStr">
        <is>
          <t>PO-1077</t>
        </is>
      </c>
      <c r="B311" s="6" t="inlineStr">
        <is>
          <t>SUP-002</t>
        </is>
      </c>
      <c r="C311" s="6" t="inlineStr">
        <is>
          <t>Network Switches</t>
        </is>
      </c>
      <c r="D311" s="6" t="n">
        <v>8517.620000000001</v>
      </c>
      <c r="E311" s="26" t="n">
        <v>46144</v>
      </c>
      <c r="F311" s="6" t="n">
        <v>10</v>
      </c>
      <c r="G311" s="27" t="n">
        <v>4340.88</v>
      </c>
      <c r="H311" s="6" t="inlineStr">
        <is>
          <t>CIF</t>
        </is>
      </c>
      <c r="I311" s="6" t="inlineStr">
        <is>
          <t>Ocean</t>
        </is>
      </c>
      <c r="J311" s="26" t="n">
        <v>46159</v>
      </c>
      <c r="K311" s="26" t="n">
        <v>46158</v>
      </c>
      <c r="L311" s="6" t="n">
        <v>1</v>
      </c>
      <c r="M311" s="6" t="inlineStr">
        <is>
          <t>N</t>
        </is>
      </c>
      <c r="N311" s="6" t="inlineStr">
        <is>
          <t>Delivered</t>
        </is>
      </c>
      <c r="O311" s="6">
        <f>IF(K311="",0,K311-E311)</f>
        <v/>
      </c>
      <c r="P311" s="6">
        <f>IF(N311&lt;&gt;"Delivered","",IF(K311&lt;=J311,1,0))</f>
        <v/>
      </c>
      <c r="Q311" s="6">
        <f>IFERROR(INDEX(Raw_Suppliers!$C$2:$C$4,MATCH(B311,Raw_Suppliers!$A$2:$A$4,0)),"")</f>
        <v/>
      </c>
      <c r="R311" s="6">
        <f>Q311&amp;"|"&amp;D311</f>
        <v/>
      </c>
      <c r="S311" s="28">
        <f>IFERROR(INDEX(Raw_Tariff_Ref!$H$2:$H$10,MATCH(R311,Raw_Tariff_Ref!$I$2:$I$10,0)),0)</f>
        <v/>
      </c>
      <c r="T311" s="27">
        <f>IF(G311="","",G311*F311)</f>
        <v/>
      </c>
      <c r="U311" s="27">
        <f>IF(G311="","",G311*(1+S311))</f>
        <v/>
      </c>
      <c r="V311" s="27">
        <f>IF(U311="","",U311*F311)</f>
        <v/>
      </c>
      <c r="W311" s="6">
        <f>IF(COUNTIF($A$2:A311,A311)=1,1,0)</f>
        <v/>
      </c>
    </row>
    <row r="312">
      <c r="A312" s="6" t="inlineStr">
        <is>
          <t>PO-1073</t>
        </is>
      </c>
      <c r="B312" s="6" t="inlineStr">
        <is>
          <t>SUP-001</t>
        </is>
      </c>
      <c r="C312" s="6" t="inlineStr">
        <is>
          <t>PDU / MEP Equipment</t>
        </is>
      </c>
      <c r="D312" s="6" t="n">
        <v>8537.1</v>
      </c>
      <c r="E312" s="26" t="n">
        <v>46144</v>
      </c>
      <c r="F312" s="6" t="n">
        <v>10</v>
      </c>
      <c r="G312" s="27" t="n">
        <v>3583.61</v>
      </c>
      <c r="H312" s="6" t="inlineStr">
        <is>
          <t>DDP</t>
        </is>
      </c>
      <c r="I312" s="6" t="inlineStr">
        <is>
          <t>Truck</t>
        </is>
      </c>
      <c r="J312" s="26" t="n">
        <v>46158</v>
      </c>
      <c r="K312" s="26" t="n">
        <v>46156</v>
      </c>
      <c r="L312" s="6" t="n">
        <v>0</v>
      </c>
      <c r="M312" s="6" t="inlineStr">
        <is>
          <t>N</t>
        </is>
      </c>
      <c r="N312" s="6" t="inlineStr">
        <is>
          <t>Delivered</t>
        </is>
      </c>
      <c r="O312" s="6">
        <f>IF(K312="",0,K312-E312)</f>
        <v/>
      </c>
      <c r="P312" s="6">
        <f>IF(N312&lt;&gt;"Delivered","",IF(K312&lt;=J312,1,0))</f>
        <v/>
      </c>
      <c r="Q312" s="6">
        <f>IFERROR(INDEX(Raw_Suppliers!$C$2:$C$4,MATCH(B312,Raw_Suppliers!$A$2:$A$4,0)),"")</f>
        <v/>
      </c>
      <c r="R312" s="6">
        <f>Q312&amp;"|"&amp;D312</f>
        <v/>
      </c>
      <c r="S312" s="28">
        <f>IFERROR(INDEX(Raw_Tariff_Ref!$H$2:$H$10,MATCH(R312,Raw_Tariff_Ref!$I$2:$I$10,0)),0)</f>
        <v/>
      </c>
      <c r="T312" s="27">
        <f>IF(G312="","",G312*F312)</f>
        <v/>
      </c>
      <c r="U312" s="27">
        <f>IF(G312="","",G312*(1+S312))</f>
        <v/>
      </c>
      <c r="V312" s="27">
        <f>IF(U312="","",U312*F312)</f>
        <v/>
      </c>
      <c r="W312" s="6">
        <f>IF(COUNTIF($A$2:A312,A312)=1,1,0)</f>
        <v/>
      </c>
    </row>
    <row r="313">
      <c r="A313" s="6" t="inlineStr">
        <is>
          <t>PO-1018</t>
        </is>
      </c>
      <c r="B313" s="6" t="inlineStr">
        <is>
          <t>SUP-001</t>
        </is>
      </c>
      <c r="C313" s="6" t="inlineStr">
        <is>
          <t>GPU Servers</t>
        </is>
      </c>
      <c r="D313" s="6" t="n">
        <v>8471.5</v>
      </c>
      <c r="E313" s="26" t="n">
        <v>46147</v>
      </c>
      <c r="F313" s="6" t="n">
        <v>16</v>
      </c>
      <c r="G313" s="27" t="n">
        <v>18706.33</v>
      </c>
      <c r="H313" s="6" t="inlineStr">
        <is>
          <t>FOB</t>
        </is>
      </c>
      <c r="I313" s="6" t="inlineStr">
        <is>
          <t>Air</t>
        </is>
      </c>
      <c r="J313" s="26" t="n">
        <v>46158</v>
      </c>
      <c r="K313" s="26" t="n">
        <v>46157</v>
      </c>
      <c r="L313" s="6" t="n">
        <v>1</v>
      </c>
      <c r="M313" s="6" t="inlineStr">
        <is>
          <t>N</t>
        </is>
      </c>
      <c r="N313" s="6" t="inlineStr">
        <is>
          <t>Delivered</t>
        </is>
      </c>
      <c r="O313" s="6">
        <f>IF(K313="",0,K313-E313)</f>
        <v/>
      </c>
      <c r="P313" s="6">
        <f>IF(N313&lt;&gt;"Delivered","",IF(K313&lt;=J313,1,0))</f>
        <v/>
      </c>
      <c r="Q313" s="6">
        <f>IFERROR(INDEX(Raw_Suppliers!$C$2:$C$4,MATCH(B313,Raw_Suppliers!$A$2:$A$4,0)),"")</f>
        <v/>
      </c>
      <c r="R313" s="6">
        <f>Q313&amp;"|"&amp;D313</f>
        <v/>
      </c>
      <c r="S313" s="28">
        <f>IFERROR(INDEX(Raw_Tariff_Ref!$H$2:$H$10,MATCH(R313,Raw_Tariff_Ref!$I$2:$I$10,0)),0)</f>
        <v/>
      </c>
      <c r="T313" s="27">
        <f>IF(G313="","",G313*F313)</f>
        <v/>
      </c>
      <c r="U313" s="27">
        <f>IF(G313="","",G313*(1+S313))</f>
        <v/>
      </c>
      <c r="V313" s="27">
        <f>IF(U313="","",U313*F313)</f>
        <v/>
      </c>
      <c r="W313" s="6">
        <f>IF(COUNTIF($A$2:A313,A313)=1,1,0)</f>
        <v/>
      </c>
    </row>
    <row r="314">
      <c r="A314" s="6" t="inlineStr">
        <is>
          <t>PO-1185</t>
        </is>
      </c>
      <c r="B314" s="6" t="inlineStr">
        <is>
          <t>SUP-001</t>
        </is>
      </c>
      <c r="C314" s="6" t="inlineStr">
        <is>
          <t>PDU / MEP Equipment</t>
        </is>
      </c>
      <c r="D314" s="6" t="n">
        <v>8537.1</v>
      </c>
      <c r="E314" s="26" t="n">
        <v>46148</v>
      </c>
      <c r="F314" s="6" t="n">
        <v>40</v>
      </c>
      <c r="G314" s="27" t="n">
        <v>3914.85</v>
      </c>
      <c r="H314" s="6" t="inlineStr">
        <is>
          <t>FOB</t>
        </is>
      </c>
      <c r="I314" s="6" t="inlineStr">
        <is>
          <t>Air</t>
        </is>
      </c>
      <c r="J314" s="26" t="n">
        <v>46162</v>
      </c>
      <c r="K314" s="26" t="n">
        <v>46160</v>
      </c>
      <c r="L314" s="6" t="n">
        <v>1</v>
      </c>
      <c r="M314" s="6" t="inlineStr">
        <is>
          <t>N</t>
        </is>
      </c>
      <c r="N314" s="6" t="inlineStr">
        <is>
          <t>Delivered</t>
        </is>
      </c>
      <c r="O314" s="6">
        <f>IF(K314="",0,K314-E314)</f>
        <v/>
      </c>
      <c r="P314" s="6">
        <f>IF(N314&lt;&gt;"Delivered","",IF(K314&lt;=J314,1,0))</f>
        <v/>
      </c>
      <c r="Q314" s="6">
        <f>IFERROR(INDEX(Raw_Suppliers!$C$2:$C$4,MATCH(B314,Raw_Suppliers!$A$2:$A$4,0)),"")</f>
        <v/>
      </c>
      <c r="R314" s="6">
        <f>Q314&amp;"|"&amp;D314</f>
        <v/>
      </c>
      <c r="S314" s="28">
        <f>IFERROR(INDEX(Raw_Tariff_Ref!$H$2:$H$10,MATCH(R314,Raw_Tariff_Ref!$I$2:$I$10,0)),0)</f>
        <v/>
      </c>
      <c r="T314" s="27">
        <f>IF(G314="","",G314*F314)</f>
        <v/>
      </c>
      <c r="U314" s="27">
        <f>IF(G314="","",G314*(1+S314))</f>
        <v/>
      </c>
      <c r="V314" s="27">
        <f>IF(U314="","",U314*F314)</f>
        <v/>
      </c>
      <c r="W314" s="6">
        <f>IF(COUNTIF($A$2:A314,A314)=1,1,0)</f>
        <v/>
      </c>
    </row>
    <row r="315">
      <c r="A315" s="6" t="inlineStr">
        <is>
          <t>PO-1190</t>
        </is>
      </c>
      <c r="B315" s="6" t="inlineStr">
        <is>
          <t>SUP-002</t>
        </is>
      </c>
      <c r="C315" s="6" t="inlineStr">
        <is>
          <t>GPU Servers</t>
        </is>
      </c>
      <c r="D315" s="6" t="n">
        <v>8471.5</v>
      </c>
      <c r="E315" s="26" t="n">
        <v>46152</v>
      </c>
      <c r="F315" s="6" t="n">
        <v>5</v>
      </c>
      <c r="G315" s="27" t="n">
        <v>17841.98</v>
      </c>
      <c r="H315" s="6" t="inlineStr">
        <is>
          <t>CIF</t>
        </is>
      </c>
      <c r="I315" s="6" t="inlineStr">
        <is>
          <t>Ocean</t>
        </is>
      </c>
      <c r="J315" s="26" t="n">
        <v>46166</v>
      </c>
      <c r="K315" s="26" t="n">
        <v>46165</v>
      </c>
      <c r="L315" s="6" t="n">
        <v>3</v>
      </c>
      <c r="M315" s="6" t="inlineStr">
        <is>
          <t>N</t>
        </is>
      </c>
      <c r="N315" s="6" t="inlineStr">
        <is>
          <t>Delivered</t>
        </is>
      </c>
      <c r="O315" s="6">
        <f>IF(K315="",0,K315-E315)</f>
        <v/>
      </c>
      <c r="P315" s="6">
        <f>IF(N315&lt;&gt;"Delivered","",IF(K315&lt;=J315,1,0))</f>
        <v/>
      </c>
      <c r="Q315" s="6">
        <f>IFERROR(INDEX(Raw_Suppliers!$C$2:$C$4,MATCH(B315,Raw_Suppliers!$A$2:$A$4,0)),"")</f>
        <v/>
      </c>
      <c r="R315" s="6">
        <f>Q315&amp;"|"&amp;D315</f>
        <v/>
      </c>
      <c r="S315" s="28">
        <f>IFERROR(INDEX(Raw_Tariff_Ref!$H$2:$H$10,MATCH(R315,Raw_Tariff_Ref!$I$2:$I$10,0)),0)</f>
        <v/>
      </c>
      <c r="T315" s="27">
        <f>IF(G315="","",G315*F315)</f>
        <v/>
      </c>
      <c r="U315" s="27">
        <f>IF(G315="","",G315*(1+S315))</f>
        <v/>
      </c>
      <c r="V315" s="27">
        <f>IF(U315="","",U315*F315)</f>
        <v/>
      </c>
      <c r="W315" s="6">
        <f>IF(COUNTIF($A$2:A315,A315)=1,1,0)</f>
        <v/>
      </c>
    </row>
    <row r="316">
      <c r="A316" s="6" t="inlineStr">
        <is>
          <t>PO-1263</t>
        </is>
      </c>
      <c r="B316" s="6" t="inlineStr">
        <is>
          <t>SUP-003</t>
        </is>
      </c>
      <c r="C316" s="6" t="inlineStr">
        <is>
          <t>PDU / MEP Equipment</t>
        </is>
      </c>
      <c r="D316" s="6" t="n">
        <v>8537.1</v>
      </c>
      <c r="E316" s="26" t="n">
        <v>46159</v>
      </c>
      <c r="F316" s="6" t="n">
        <v>25</v>
      </c>
      <c r="G316" s="27" t="n">
        <v>1814.8</v>
      </c>
      <c r="H316" s="6" t="inlineStr">
        <is>
          <t>FOB</t>
        </is>
      </c>
      <c r="I316" s="6" t="inlineStr">
        <is>
          <t>Air</t>
        </is>
      </c>
      <c r="J316" s="26" t="n">
        <v>46184</v>
      </c>
      <c r="K316" s="26" t="n">
        <v>46183</v>
      </c>
      <c r="L316" s="6" t="n">
        <v>10</v>
      </c>
      <c r="M316" s="6" t="inlineStr">
        <is>
          <t>N</t>
        </is>
      </c>
      <c r="N316" s="6" t="inlineStr">
        <is>
          <t>Delivered</t>
        </is>
      </c>
      <c r="O316" s="6">
        <f>IF(K316="",0,K316-E316)</f>
        <v/>
      </c>
      <c r="P316" s="6">
        <f>IF(N316&lt;&gt;"Delivered","",IF(K316&lt;=J316,1,0))</f>
        <v/>
      </c>
      <c r="Q316" s="6">
        <f>IFERROR(INDEX(Raw_Suppliers!$C$2:$C$4,MATCH(B316,Raw_Suppliers!$A$2:$A$4,0)),"")</f>
        <v/>
      </c>
      <c r="R316" s="6">
        <f>Q316&amp;"|"&amp;D316</f>
        <v/>
      </c>
      <c r="S316" s="28">
        <f>IFERROR(INDEX(Raw_Tariff_Ref!$H$2:$H$10,MATCH(R316,Raw_Tariff_Ref!$I$2:$I$10,0)),0)</f>
        <v/>
      </c>
      <c r="T316" s="27">
        <f>IF(G316="","",G316*F316)</f>
        <v/>
      </c>
      <c r="U316" s="27">
        <f>IF(G316="","",G316*(1+S316))</f>
        <v/>
      </c>
      <c r="V316" s="27">
        <f>IF(U316="","",U316*F316)</f>
        <v/>
      </c>
      <c r="W316" s="6">
        <f>IF(COUNTIF($A$2:A316,A316)=1,1,0)</f>
        <v/>
      </c>
    </row>
    <row r="317">
      <c r="A317" s="6" t="inlineStr">
        <is>
          <t>PO-1052</t>
        </is>
      </c>
      <c r="B317" s="6" t="inlineStr">
        <is>
          <t>SUP-001</t>
        </is>
      </c>
      <c r="C317" s="6" t="inlineStr">
        <is>
          <t>PDU / MEP Equipment</t>
        </is>
      </c>
      <c r="D317" s="6" t="n">
        <v>8537.1</v>
      </c>
      <c r="E317" s="26" t="n">
        <v>46160</v>
      </c>
      <c r="F317" s="6" t="n">
        <v>16</v>
      </c>
      <c r="G317" s="27" t="n">
        <v>3726.98</v>
      </c>
      <c r="H317" s="6" t="inlineStr">
        <is>
          <t>DDP</t>
        </is>
      </c>
      <c r="I317" s="6" t="inlineStr">
        <is>
          <t>Truck</t>
        </is>
      </c>
      <c r="J317" s="26" t="n">
        <v>46174</v>
      </c>
      <c r="K317" s="26" t="n">
        <v>46173</v>
      </c>
      <c r="L317" s="6" t="n">
        <v>0</v>
      </c>
      <c r="M317" s="6" t="inlineStr">
        <is>
          <t>N</t>
        </is>
      </c>
      <c r="N317" s="6" t="inlineStr">
        <is>
          <t>Delivered</t>
        </is>
      </c>
      <c r="O317" s="6">
        <f>IF(K317="",0,K317-E317)</f>
        <v/>
      </c>
      <c r="P317" s="6">
        <f>IF(N317&lt;&gt;"Delivered","",IF(K317&lt;=J317,1,0))</f>
        <v/>
      </c>
      <c r="Q317" s="6">
        <f>IFERROR(INDEX(Raw_Suppliers!$C$2:$C$4,MATCH(B317,Raw_Suppliers!$A$2:$A$4,0)),"")</f>
        <v/>
      </c>
      <c r="R317" s="6">
        <f>Q317&amp;"|"&amp;D317</f>
        <v/>
      </c>
      <c r="S317" s="28">
        <f>IFERROR(INDEX(Raw_Tariff_Ref!$H$2:$H$10,MATCH(R317,Raw_Tariff_Ref!$I$2:$I$10,0)),0)</f>
        <v/>
      </c>
      <c r="T317" s="27">
        <f>IF(G317="","",G317*F317)</f>
        <v/>
      </c>
      <c r="U317" s="27">
        <f>IF(G317="","",G317*(1+S317))</f>
        <v/>
      </c>
      <c r="V317" s="27">
        <f>IF(U317="","",U317*F317)</f>
        <v/>
      </c>
      <c r="W317" s="6">
        <f>IF(COUNTIF($A$2:A317,A317)=1,1,0)</f>
        <v/>
      </c>
    </row>
    <row r="318">
      <c r="A318" s="6" t="inlineStr">
        <is>
          <t>PO-1141</t>
        </is>
      </c>
      <c r="B318" s="6" t="inlineStr">
        <is>
          <t>SUP-003</t>
        </is>
      </c>
      <c r="C318" s="6" t="inlineStr">
        <is>
          <t>Network Switches</t>
        </is>
      </c>
      <c r="D318" s="6" t="n">
        <v>8517.620000000001</v>
      </c>
      <c r="E318" s="26" t="n">
        <v>46160</v>
      </c>
      <c r="F318" s="6" t="n">
        <v>5</v>
      </c>
      <c r="G318" s="27" t="n">
        <v>2856.14</v>
      </c>
      <c r="H318" s="6" t="inlineStr">
        <is>
          <t>EXW</t>
        </is>
      </c>
      <c r="I318" s="6" t="inlineStr">
        <is>
          <t>Ocean</t>
        </is>
      </c>
      <c r="J318" s="26" t="n">
        <v>46188</v>
      </c>
      <c r="K318" s="26" t="n">
        <v>46186</v>
      </c>
      <c r="L318" s="6" t="n">
        <v>8</v>
      </c>
      <c r="M318" s="6" t="inlineStr">
        <is>
          <t>Y</t>
        </is>
      </c>
      <c r="N318" s="6" t="inlineStr">
        <is>
          <t>Delivered</t>
        </is>
      </c>
      <c r="O318" s="6">
        <f>IF(K318="",0,K318-E318)</f>
        <v/>
      </c>
      <c r="P318" s="6">
        <f>IF(N318&lt;&gt;"Delivered","",IF(K318&lt;=J318,1,0))</f>
        <v/>
      </c>
      <c r="Q318" s="6">
        <f>IFERROR(INDEX(Raw_Suppliers!$C$2:$C$4,MATCH(B318,Raw_Suppliers!$A$2:$A$4,0)),"")</f>
        <v/>
      </c>
      <c r="R318" s="6">
        <f>Q318&amp;"|"&amp;D318</f>
        <v/>
      </c>
      <c r="S318" s="28">
        <f>IFERROR(INDEX(Raw_Tariff_Ref!$H$2:$H$10,MATCH(R318,Raw_Tariff_Ref!$I$2:$I$10,0)),0)</f>
        <v/>
      </c>
      <c r="T318" s="27">
        <f>IF(G318="","",G318*F318)</f>
        <v/>
      </c>
      <c r="U318" s="27">
        <f>IF(G318="","",G318*(1+S318))</f>
        <v/>
      </c>
      <c r="V318" s="27">
        <f>IF(U318="","",U318*F318)</f>
        <v/>
      </c>
      <c r="W318" s="6">
        <f>IF(COUNTIF($A$2:A318,A318)=1,1,0)</f>
        <v/>
      </c>
    </row>
    <row r="319">
      <c r="A319" s="6" t="inlineStr">
        <is>
          <t>PO-1023</t>
        </is>
      </c>
      <c r="B319" s="6" t="inlineStr">
        <is>
          <t>SUP-003</t>
        </is>
      </c>
      <c r="C319" s="6" t="inlineStr">
        <is>
          <t>GPU Servers</t>
        </is>
      </c>
      <c r="D319" s="6" t="n">
        <v>8471.5</v>
      </c>
      <c r="E319" s="26" t="n">
        <v>46161</v>
      </c>
      <c r="F319" s="6" t="n">
        <v>8</v>
      </c>
      <c r="G319" s="27" t="n">
        <v>16520.64</v>
      </c>
      <c r="H319" s="6" t="inlineStr">
        <is>
          <t>CIF</t>
        </is>
      </c>
      <c r="I319" s="6" t="inlineStr">
        <is>
          <t>Ocean</t>
        </is>
      </c>
      <c r="J319" s="26" t="n">
        <v>46196</v>
      </c>
      <c r="K319" s="26" t="n">
        <v>46195</v>
      </c>
      <c r="L319" s="6" t="n">
        <v>8</v>
      </c>
      <c r="M319" s="6" t="inlineStr">
        <is>
          <t>N</t>
        </is>
      </c>
      <c r="N319" s="6" t="inlineStr">
        <is>
          <t>Delivered</t>
        </is>
      </c>
      <c r="O319" s="6">
        <f>IF(K319="",0,K319-E319)</f>
        <v/>
      </c>
      <c r="P319" s="6">
        <f>IF(N319&lt;&gt;"Delivered","",IF(K319&lt;=J319,1,0))</f>
        <v/>
      </c>
      <c r="Q319" s="6">
        <f>IFERROR(INDEX(Raw_Suppliers!$C$2:$C$4,MATCH(B319,Raw_Suppliers!$A$2:$A$4,0)),"")</f>
        <v/>
      </c>
      <c r="R319" s="6">
        <f>Q319&amp;"|"&amp;D319</f>
        <v/>
      </c>
      <c r="S319" s="28">
        <f>IFERROR(INDEX(Raw_Tariff_Ref!$H$2:$H$10,MATCH(R319,Raw_Tariff_Ref!$I$2:$I$10,0)),0)</f>
        <v/>
      </c>
      <c r="T319" s="27">
        <f>IF(G319="","",G319*F319)</f>
        <v/>
      </c>
      <c r="U319" s="27">
        <f>IF(G319="","",G319*(1+S319))</f>
        <v/>
      </c>
      <c r="V319" s="27">
        <f>IF(U319="","",U319*F319)</f>
        <v/>
      </c>
      <c r="W319" s="6">
        <f>IF(COUNTIF($A$2:A319,A319)=1,1,0)</f>
        <v/>
      </c>
    </row>
    <row r="320">
      <c r="A320" s="6" t="inlineStr">
        <is>
          <t>PO-1264</t>
        </is>
      </c>
      <c r="B320" s="6" t="inlineStr">
        <is>
          <t>SUP-002</t>
        </is>
      </c>
      <c r="C320" s="6" t="inlineStr">
        <is>
          <t>GPU Servers</t>
        </is>
      </c>
      <c r="D320" s="6" t="n">
        <v>8471.5</v>
      </c>
      <c r="E320" s="26" t="n">
        <v>46163</v>
      </c>
      <c r="F320" s="6" t="n">
        <v>2</v>
      </c>
      <c r="G320" s="27" t="n">
        <v>19938.32</v>
      </c>
      <c r="H320" s="6" t="inlineStr">
        <is>
          <t>FOB</t>
        </is>
      </c>
      <c r="I320" s="6" t="inlineStr">
        <is>
          <t>Ocean</t>
        </is>
      </c>
      <c r="J320" s="26" t="n">
        <v>46180</v>
      </c>
      <c r="K320" s="26" t="n">
        <v>46180</v>
      </c>
      <c r="L320" s="6" t="n">
        <v>1</v>
      </c>
      <c r="M320" s="6" t="inlineStr">
        <is>
          <t>N</t>
        </is>
      </c>
      <c r="N320" s="6" t="inlineStr">
        <is>
          <t>Delivered</t>
        </is>
      </c>
      <c r="O320" s="6">
        <f>IF(K320="",0,K320-E320)</f>
        <v/>
      </c>
      <c r="P320" s="6">
        <f>IF(N320&lt;&gt;"Delivered","",IF(K320&lt;=J320,1,0))</f>
        <v/>
      </c>
      <c r="Q320" s="6">
        <f>IFERROR(INDEX(Raw_Suppliers!$C$2:$C$4,MATCH(B320,Raw_Suppliers!$A$2:$A$4,0)),"")</f>
        <v/>
      </c>
      <c r="R320" s="6">
        <f>Q320&amp;"|"&amp;D320</f>
        <v/>
      </c>
      <c r="S320" s="28">
        <f>IFERROR(INDEX(Raw_Tariff_Ref!$H$2:$H$10,MATCH(R320,Raw_Tariff_Ref!$I$2:$I$10,0)),0)</f>
        <v/>
      </c>
      <c r="T320" s="27">
        <f>IF(G320="","",G320*F320)</f>
        <v/>
      </c>
      <c r="U320" s="27">
        <f>IF(G320="","",G320*(1+S320))</f>
        <v/>
      </c>
      <c r="V320" s="27">
        <f>IF(U320="","",U320*F320)</f>
        <v/>
      </c>
      <c r="W320" s="6">
        <f>IF(COUNTIF($A$2:A320,A320)=1,1,0)</f>
        <v/>
      </c>
    </row>
    <row r="321">
      <c r="A321" s="6" t="inlineStr">
        <is>
          <t>PO-1085</t>
        </is>
      </c>
      <c r="B321" s="6" t="inlineStr">
        <is>
          <t>SUP-001</t>
        </is>
      </c>
      <c r="C321" s="6" t="inlineStr">
        <is>
          <t>PDU / MEP Equipment</t>
        </is>
      </c>
      <c r="D321" s="6" t="n">
        <v>8537.1</v>
      </c>
      <c r="E321" s="26" t="n">
        <v>46164</v>
      </c>
      <c r="F321" s="6" t="n">
        <v>25</v>
      </c>
      <c r="G321" s="27" t="n">
        <v>3254.88</v>
      </c>
      <c r="H321" s="6" t="inlineStr">
        <is>
          <t>DDP</t>
        </is>
      </c>
      <c r="I321" s="6" t="inlineStr">
        <is>
          <t>Air</t>
        </is>
      </c>
      <c r="J321" s="26" t="n">
        <v>46172</v>
      </c>
      <c r="K321" s="26" t="n">
        <v>46171</v>
      </c>
      <c r="L321" s="6" t="n">
        <v>1</v>
      </c>
      <c r="M321" s="6" t="inlineStr">
        <is>
          <t>N</t>
        </is>
      </c>
      <c r="N321" s="6" t="inlineStr">
        <is>
          <t>Delivered</t>
        </is>
      </c>
      <c r="O321" s="6">
        <f>IF(K321="",0,K321-E321)</f>
        <v/>
      </c>
      <c r="P321" s="6">
        <f>IF(N321&lt;&gt;"Delivered","",IF(K321&lt;=J321,1,0))</f>
        <v/>
      </c>
      <c r="Q321" s="6">
        <f>IFERROR(INDEX(Raw_Suppliers!$C$2:$C$4,MATCH(B321,Raw_Suppliers!$A$2:$A$4,0)),"")</f>
        <v/>
      </c>
      <c r="R321" s="6">
        <f>Q321&amp;"|"&amp;D321</f>
        <v/>
      </c>
      <c r="S321" s="28">
        <f>IFERROR(INDEX(Raw_Tariff_Ref!$H$2:$H$10,MATCH(R321,Raw_Tariff_Ref!$I$2:$I$10,0)),0)</f>
        <v/>
      </c>
      <c r="T321" s="27">
        <f>IF(G321="","",G321*F321)</f>
        <v/>
      </c>
      <c r="U321" s="27">
        <f>IF(G321="","",G321*(1+S321))</f>
        <v/>
      </c>
      <c r="V321" s="27">
        <f>IF(U321="","",U321*F321)</f>
        <v/>
      </c>
      <c r="W321" s="6">
        <f>IF(COUNTIF($A$2:A321,A321)=1,1,0)</f>
        <v/>
      </c>
    </row>
    <row r="322">
      <c r="A322" s="6" t="inlineStr">
        <is>
          <t>PO-1166</t>
        </is>
      </c>
      <c r="B322" s="6" t="inlineStr">
        <is>
          <t>SUP-003</t>
        </is>
      </c>
      <c r="C322" s="6" t="inlineStr">
        <is>
          <t>Network Switches</t>
        </is>
      </c>
      <c r="D322" s="6" t="n">
        <v>8517.620000000001</v>
      </c>
      <c r="E322" s="26" t="n">
        <v>46165</v>
      </c>
      <c r="F322" s="6" t="n">
        <v>4</v>
      </c>
      <c r="G322" s="27" t="n">
        <v>3310.35</v>
      </c>
      <c r="H322" s="6" t="inlineStr">
        <is>
          <t>CIF</t>
        </is>
      </c>
      <c r="I322" s="6" t="inlineStr">
        <is>
          <t>Air</t>
        </is>
      </c>
      <c r="J322" s="26" t="n">
        <v>46199</v>
      </c>
      <c r="K322" s="26" t="n">
        <v>46197</v>
      </c>
      <c r="L322" s="6" t="n">
        <v>4</v>
      </c>
      <c r="M322" s="6" t="inlineStr">
        <is>
          <t>N</t>
        </is>
      </c>
      <c r="N322" s="6" t="inlineStr">
        <is>
          <t>Delivered</t>
        </is>
      </c>
      <c r="O322" s="6">
        <f>IF(K322="",0,K322-E322)</f>
        <v/>
      </c>
      <c r="P322" s="6">
        <f>IF(N322&lt;&gt;"Delivered","",IF(K322&lt;=J322,1,0))</f>
        <v/>
      </c>
      <c r="Q322" s="6">
        <f>IFERROR(INDEX(Raw_Suppliers!$C$2:$C$4,MATCH(B322,Raw_Suppliers!$A$2:$A$4,0)),"")</f>
        <v/>
      </c>
      <c r="R322" s="6">
        <f>Q322&amp;"|"&amp;D322</f>
        <v/>
      </c>
      <c r="S322" s="28">
        <f>IFERROR(INDEX(Raw_Tariff_Ref!$H$2:$H$10,MATCH(R322,Raw_Tariff_Ref!$I$2:$I$10,0)),0)</f>
        <v/>
      </c>
      <c r="T322" s="27">
        <f>IF(G322="","",G322*F322)</f>
        <v/>
      </c>
      <c r="U322" s="27">
        <f>IF(G322="","",G322*(1+S322))</f>
        <v/>
      </c>
      <c r="V322" s="27">
        <f>IF(U322="","",U322*F322)</f>
        <v/>
      </c>
      <c r="W322" s="6">
        <f>IF(COUNTIF($A$2:A322,A322)=1,1,0)</f>
        <v/>
      </c>
    </row>
    <row r="323">
      <c r="A323" s="6" t="inlineStr">
        <is>
          <t>PO-1068</t>
        </is>
      </c>
      <c r="B323" s="6" t="inlineStr">
        <is>
          <t>SUP-003</t>
        </is>
      </c>
      <c r="C323" s="6" t="inlineStr">
        <is>
          <t>PDU / MEP Equipment</t>
        </is>
      </c>
      <c r="D323" s="6" t="n">
        <v>8537.1</v>
      </c>
      <c r="E323" s="26" t="n">
        <v>46165</v>
      </c>
      <c r="F323" s="6" t="n">
        <v>40</v>
      </c>
      <c r="G323" s="27" t="n">
        <v>1461.77</v>
      </c>
      <c r="H323" s="6" t="inlineStr">
        <is>
          <t>FOB</t>
        </is>
      </c>
      <c r="I323" s="6" t="inlineStr">
        <is>
          <t>Air</t>
        </is>
      </c>
      <c r="J323" s="26" t="n">
        <v>46199</v>
      </c>
      <c r="K323" s="26" t="n">
        <v>46197</v>
      </c>
      <c r="L323" s="6" t="n">
        <v>8</v>
      </c>
      <c r="M323" s="6" t="inlineStr">
        <is>
          <t>N</t>
        </is>
      </c>
      <c r="N323" s="6" t="inlineStr">
        <is>
          <t>Delivered</t>
        </is>
      </c>
      <c r="O323" s="6">
        <f>IF(K323="",0,K323-E323)</f>
        <v/>
      </c>
      <c r="P323" s="6">
        <f>IF(N323&lt;&gt;"Delivered","",IF(K323&lt;=J323,1,0))</f>
        <v/>
      </c>
      <c r="Q323" s="6">
        <f>IFERROR(INDEX(Raw_Suppliers!$C$2:$C$4,MATCH(B323,Raw_Suppliers!$A$2:$A$4,0)),"")</f>
        <v/>
      </c>
      <c r="R323" s="6">
        <f>Q323&amp;"|"&amp;D323</f>
        <v/>
      </c>
      <c r="S323" s="28">
        <f>IFERROR(INDEX(Raw_Tariff_Ref!$H$2:$H$10,MATCH(R323,Raw_Tariff_Ref!$I$2:$I$10,0)),0)</f>
        <v/>
      </c>
      <c r="T323" s="27">
        <f>IF(G323="","",G323*F323)</f>
        <v/>
      </c>
      <c r="U323" s="27">
        <f>IF(G323="","",G323*(1+S323))</f>
        <v/>
      </c>
      <c r="V323" s="27">
        <f>IF(U323="","",U323*F323)</f>
        <v/>
      </c>
      <c r="W323" s="6">
        <f>IF(COUNTIF($A$2:A323,A323)=1,1,0)</f>
        <v/>
      </c>
    </row>
    <row r="324">
      <c r="A324" s="6" t="inlineStr">
        <is>
          <t>PO-1227</t>
        </is>
      </c>
      <c r="B324" s="6" t="inlineStr">
        <is>
          <t>SUP-003</t>
        </is>
      </c>
      <c r="C324" s="6" t="inlineStr">
        <is>
          <t>GPU Servers</t>
        </is>
      </c>
      <c r="D324" s="6" t="n">
        <v>8471.5</v>
      </c>
      <c r="E324" s="26" t="n">
        <v>46165</v>
      </c>
      <c r="F324" s="6" t="n">
        <v>12</v>
      </c>
      <c r="G324" s="27" t="n">
        <v>16706.22</v>
      </c>
      <c r="H324" s="6" t="inlineStr">
        <is>
          <t>CIF</t>
        </is>
      </c>
      <c r="I324" s="6" t="inlineStr">
        <is>
          <t>Air</t>
        </is>
      </c>
      <c r="J324" s="26" t="n">
        <v>46215</v>
      </c>
      <c r="K324" s="26" t="n">
        <v>46215</v>
      </c>
      <c r="L324" s="6" t="n">
        <v>5</v>
      </c>
      <c r="M324" s="6" t="inlineStr">
        <is>
          <t>N</t>
        </is>
      </c>
      <c r="N324" s="6" t="inlineStr">
        <is>
          <t>Delivered</t>
        </is>
      </c>
      <c r="O324" s="6">
        <f>IF(K324="",0,K324-E324)</f>
        <v/>
      </c>
      <c r="P324" s="6">
        <f>IF(N324&lt;&gt;"Delivered","",IF(K324&lt;=J324,1,0))</f>
        <v/>
      </c>
      <c r="Q324" s="6">
        <f>IFERROR(INDEX(Raw_Suppliers!$C$2:$C$4,MATCH(B324,Raw_Suppliers!$A$2:$A$4,0)),"")</f>
        <v/>
      </c>
      <c r="R324" s="6">
        <f>Q324&amp;"|"&amp;D324</f>
        <v/>
      </c>
      <c r="S324" s="28">
        <f>IFERROR(INDEX(Raw_Tariff_Ref!$H$2:$H$10,MATCH(R324,Raw_Tariff_Ref!$I$2:$I$10,0)),0)</f>
        <v/>
      </c>
      <c r="T324" s="27">
        <f>IF(G324="","",G324*F324)</f>
        <v/>
      </c>
      <c r="U324" s="27">
        <f>IF(G324="","",G324*(1+S324))</f>
        <v/>
      </c>
      <c r="V324" s="27">
        <f>IF(U324="","",U324*F324)</f>
        <v/>
      </c>
      <c r="W324" s="6">
        <f>IF(COUNTIF($A$2:A324,A324)=1,1,0)</f>
        <v/>
      </c>
    </row>
    <row r="325">
      <c r="A325" s="6" t="inlineStr">
        <is>
          <t>PO-1318</t>
        </is>
      </c>
      <c r="B325" s="6" t="inlineStr">
        <is>
          <t>SUP-002</t>
        </is>
      </c>
      <c r="C325" s="6" t="inlineStr">
        <is>
          <t>Network Switches</t>
        </is>
      </c>
      <c r="D325" s="6" t="n">
        <v>8517.620000000001</v>
      </c>
      <c r="E325" s="26" t="n">
        <v>46167</v>
      </c>
      <c r="F325" s="6" t="n">
        <v>20</v>
      </c>
      <c r="G325" s="27" t="n">
        <v>4090.31</v>
      </c>
      <c r="H325" s="6" t="inlineStr">
        <is>
          <t>FOB</t>
        </is>
      </c>
      <c r="I325" s="6" t="inlineStr">
        <is>
          <t>Truck</t>
        </is>
      </c>
      <c r="J325" s="26" t="n">
        <v>46187</v>
      </c>
      <c r="K325" s="26" t="n">
        <v>46185</v>
      </c>
      <c r="L325" s="6" t="n">
        <v>2</v>
      </c>
      <c r="M325" s="6" t="inlineStr">
        <is>
          <t>Y</t>
        </is>
      </c>
      <c r="N325" s="6" t="inlineStr">
        <is>
          <t>Delivered</t>
        </is>
      </c>
      <c r="O325" s="6">
        <f>IF(K325="",0,K325-E325)</f>
        <v/>
      </c>
      <c r="P325" s="6">
        <f>IF(N325&lt;&gt;"Delivered","",IF(K325&lt;=J325,1,0))</f>
        <v/>
      </c>
      <c r="Q325" s="6">
        <f>IFERROR(INDEX(Raw_Suppliers!$C$2:$C$4,MATCH(B325,Raw_Suppliers!$A$2:$A$4,0)),"")</f>
        <v/>
      </c>
      <c r="R325" s="6">
        <f>Q325&amp;"|"&amp;D325</f>
        <v/>
      </c>
      <c r="S325" s="28">
        <f>IFERROR(INDEX(Raw_Tariff_Ref!$H$2:$H$10,MATCH(R325,Raw_Tariff_Ref!$I$2:$I$10,0)),0)</f>
        <v/>
      </c>
      <c r="T325" s="27">
        <f>IF(G325="","",G325*F325)</f>
        <v/>
      </c>
      <c r="U325" s="27">
        <f>IF(G325="","",G325*(1+S325))</f>
        <v/>
      </c>
      <c r="V325" s="27">
        <f>IF(U325="","",U325*F325)</f>
        <v/>
      </c>
      <c r="W325" s="6">
        <f>IF(COUNTIF($A$2:A325,A325)=1,1,0)</f>
        <v/>
      </c>
    </row>
    <row r="326">
      <c r="A326" s="6" t="inlineStr">
        <is>
          <t>PO-1285</t>
        </is>
      </c>
      <c r="B326" s="6" t="inlineStr">
        <is>
          <t>SUP-003</t>
        </is>
      </c>
      <c r="C326" s="6" t="inlineStr">
        <is>
          <t>PDU / MEP Equipment</t>
        </is>
      </c>
      <c r="D326" s="6" t="n">
        <v>8537.1</v>
      </c>
      <c r="E326" s="26" t="n">
        <v>46169</v>
      </c>
      <c r="F326" s="6" t="n">
        <v>20</v>
      </c>
      <c r="G326" s="27" t="n">
        <v>1786.49</v>
      </c>
      <c r="H326" s="6" t="inlineStr">
        <is>
          <t>EXW</t>
        </is>
      </c>
      <c r="I326" s="6" t="inlineStr">
        <is>
          <t>Ocean</t>
        </is>
      </c>
      <c r="J326" s="26" t="n">
        <v>46190</v>
      </c>
      <c r="K326" s="26" t="n">
        <v>46188</v>
      </c>
      <c r="L326" s="6" t="n">
        <v>8</v>
      </c>
      <c r="M326" s="6" t="inlineStr">
        <is>
          <t>N</t>
        </is>
      </c>
      <c r="N326" s="6" t="inlineStr">
        <is>
          <t>Delivered</t>
        </is>
      </c>
      <c r="O326" s="6">
        <f>IF(K326="",0,K326-E326)</f>
        <v/>
      </c>
      <c r="P326" s="6">
        <f>IF(N326&lt;&gt;"Delivered","",IF(K326&lt;=J326,1,0))</f>
        <v/>
      </c>
      <c r="Q326" s="6">
        <f>IFERROR(INDEX(Raw_Suppliers!$C$2:$C$4,MATCH(B326,Raw_Suppliers!$A$2:$A$4,0)),"")</f>
        <v/>
      </c>
      <c r="R326" s="6">
        <f>Q326&amp;"|"&amp;D326</f>
        <v/>
      </c>
      <c r="S326" s="28">
        <f>IFERROR(INDEX(Raw_Tariff_Ref!$H$2:$H$10,MATCH(R326,Raw_Tariff_Ref!$I$2:$I$10,0)),0)</f>
        <v/>
      </c>
      <c r="T326" s="27">
        <f>IF(G326="","",G326*F326)</f>
        <v/>
      </c>
      <c r="U326" s="27">
        <f>IF(G326="","",G326*(1+S326))</f>
        <v/>
      </c>
      <c r="V326" s="27">
        <f>IF(U326="","",U326*F326)</f>
        <v/>
      </c>
      <c r="W326" s="6">
        <f>IF(COUNTIF($A$2:A326,A326)=1,1,0)</f>
        <v/>
      </c>
    </row>
    <row r="327">
      <c r="A327" s="6" t="inlineStr">
        <is>
          <t>PO-1245</t>
        </is>
      </c>
      <c r="B327" s="6" t="inlineStr">
        <is>
          <t>SUP-003</t>
        </is>
      </c>
      <c r="C327" s="6" t="inlineStr">
        <is>
          <t>GPU Servers</t>
        </is>
      </c>
      <c r="D327" s="6" t="n">
        <v>8471.5</v>
      </c>
      <c r="E327" s="26" t="n">
        <v>46170</v>
      </c>
      <c r="F327" s="6" t="n">
        <v>20</v>
      </c>
      <c r="G327" s="27" t="n">
        <v>16023.55</v>
      </c>
      <c r="H327" s="6" t="inlineStr">
        <is>
          <t>FOB</t>
        </is>
      </c>
      <c r="I327" s="6" t="inlineStr">
        <is>
          <t>Ocean</t>
        </is>
      </c>
      <c r="J327" s="26" t="n">
        <v>46215</v>
      </c>
      <c r="K327" s="26" t="n">
        <v>46213</v>
      </c>
      <c r="L327" s="6" t="n">
        <v>9</v>
      </c>
      <c r="M327" s="6" t="inlineStr">
        <is>
          <t>N</t>
        </is>
      </c>
      <c r="N327" s="6" t="inlineStr">
        <is>
          <t>Delivered</t>
        </is>
      </c>
      <c r="O327" s="6">
        <f>IF(K327="",0,K327-E327)</f>
        <v/>
      </c>
      <c r="P327" s="6">
        <f>IF(N327&lt;&gt;"Delivered","",IF(K327&lt;=J327,1,0))</f>
        <v/>
      </c>
      <c r="Q327" s="6">
        <f>IFERROR(INDEX(Raw_Suppliers!$C$2:$C$4,MATCH(B327,Raw_Suppliers!$A$2:$A$4,0)),"")</f>
        <v/>
      </c>
      <c r="R327" s="6">
        <f>Q327&amp;"|"&amp;D327</f>
        <v/>
      </c>
      <c r="S327" s="28">
        <f>IFERROR(INDEX(Raw_Tariff_Ref!$H$2:$H$10,MATCH(R327,Raw_Tariff_Ref!$I$2:$I$10,0)),0)</f>
        <v/>
      </c>
      <c r="T327" s="27">
        <f>IF(G327="","",G327*F327)</f>
        <v/>
      </c>
      <c r="U327" s="27">
        <f>IF(G327="","",G327*(1+S327))</f>
        <v/>
      </c>
      <c r="V327" s="27">
        <f>IF(U327="","",U327*F327)</f>
        <v/>
      </c>
      <c r="W327" s="6">
        <f>IF(COUNTIF($A$2:A327,A327)=1,1,0)</f>
        <v/>
      </c>
    </row>
    <row r="328">
      <c r="A328" s="6" t="inlineStr">
        <is>
          <t>PO-1087</t>
        </is>
      </c>
      <c r="B328" s="6" t="inlineStr">
        <is>
          <t>SUP-002</t>
        </is>
      </c>
      <c r="C328" s="6" t="inlineStr">
        <is>
          <t>Network Switches</t>
        </is>
      </c>
      <c r="D328" s="6" t="n">
        <v>8517.620000000001</v>
      </c>
      <c r="E328" s="26" t="n">
        <v>46170</v>
      </c>
      <c r="F328" s="6" t="n">
        <v>25</v>
      </c>
      <c r="G328" s="27" t="n">
        <v>4984.15</v>
      </c>
      <c r="H328" s="6" t="inlineStr">
        <is>
          <t>CIF</t>
        </is>
      </c>
      <c r="I328" s="6" t="inlineStr">
        <is>
          <t>Truck</t>
        </is>
      </c>
      <c r="J328" s="26" t="n">
        <v>46188</v>
      </c>
      <c r="K328" s="26" t="n">
        <v>46193</v>
      </c>
      <c r="L328" s="6" t="n">
        <v>4</v>
      </c>
      <c r="M328" s="6" t="inlineStr">
        <is>
          <t>N</t>
        </is>
      </c>
      <c r="N328" s="6" t="inlineStr">
        <is>
          <t>Delivered</t>
        </is>
      </c>
      <c r="O328" s="6">
        <f>IF(K328="",0,K328-E328)</f>
        <v/>
      </c>
      <c r="P328" s="6">
        <f>IF(N328&lt;&gt;"Delivered","",IF(K328&lt;=J328,1,0))</f>
        <v/>
      </c>
      <c r="Q328" s="6">
        <f>IFERROR(INDEX(Raw_Suppliers!$C$2:$C$4,MATCH(B328,Raw_Suppliers!$A$2:$A$4,0)),"")</f>
        <v/>
      </c>
      <c r="R328" s="6">
        <f>Q328&amp;"|"&amp;D328</f>
        <v/>
      </c>
      <c r="S328" s="28">
        <f>IFERROR(INDEX(Raw_Tariff_Ref!$H$2:$H$10,MATCH(R328,Raw_Tariff_Ref!$I$2:$I$10,0)),0)</f>
        <v/>
      </c>
      <c r="T328" s="27">
        <f>IF(G328="","",G328*F328)</f>
        <v/>
      </c>
      <c r="U328" s="27">
        <f>IF(G328="","",G328*(1+S328))</f>
        <v/>
      </c>
      <c r="V328" s="27">
        <f>IF(U328="","",U328*F328)</f>
        <v/>
      </c>
      <c r="W328" s="6">
        <f>IF(COUNTIF($A$2:A328,A328)=1,1,0)</f>
        <v/>
      </c>
    </row>
    <row r="329">
      <c r="A329" s="6" t="inlineStr">
        <is>
          <t>PO-1159</t>
        </is>
      </c>
      <c r="B329" s="6" t="inlineStr">
        <is>
          <t>SUP-002</t>
        </is>
      </c>
      <c r="C329" s="6" t="inlineStr">
        <is>
          <t>Network Switches</t>
        </is>
      </c>
      <c r="D329" s="6" t="n">
        <v>8517.620000000001</v>
      </c>
      <c r="E329" s="26" t="n">
        <v>46171</v>
      </c>
      <c r="F329" s="6" t="n">
        <v>25</v>
      </c>
      <c r="G329" s="27" t="n">
        <v>4011.09</v>
      </c>
      <c r="H329" s="6" t="inlineStr">
        <is>
          <t>FOB</t>
        </is>
      </c>
      <c r="I329" s="6" t="inlineStr">
        <is>
          <t>Ocean</t>
        </is>
      </c>
      <c r="J329" s="26" t="n">
        <v>46184</v>
      </c>
      <c r="K329" s="26" t="n">
        <v>46183</v>
      </c>
      <c r="L329" s="6" t="n">
        <v>1</v>
      </c>
      <c r="M329" s="6" t="inlineStr">
        <is>
          <t>N</t>
        </is>
      </c>
      <c r="N329" s="6" t="inlineStr">
        <is>
          <t>Delivered</t>
        </is>
      </c>
      <c r="O329" s="6">
        <f>IF(K329="",0,K329-E329)</f>
        <v/>
      </c>
      <c r="P329" s="6">
        <f>IF(N329&lt;&gt;"Delivered","",IF(K329&lt;=J329,1,0))</f>
        <v/>
      </c>
      <c r="Q329" s="6">
        <f>IFERROR(INDEX(Raw_Suppliers!$C$2:$C$4,MATCH(B329,Raw_Suppliers!$A$2:$A$4,0)),"")</f>
        <v/>
      </c>
      <c r="R329" s="6">
        <f>Q329&amp;"|"&amp;D329</f>
        <v/>
      </c>
      <c r="S329" s="28">
        <f>IFERROR(INDEX(Raw_Tariff_Ref!$H$2:$H$10,MATCH(R329,Raw_Tariff_Ref!$I$2:$I$10,0)),0)</f>
        <v/>
      </c>
      <c r="T329" s="27">
        <f>IF(G329="","",G329*F329)</f>
        <v/>
      </c>
      <c r="U329" s="27">
        <f>IF(G329="","",G329*(1+S329))</f>
        <v/>
      </c>
      <c r="V329" s="27">
        <f>IF(U329="","",U329*F329)</f>
        <v/>
      </c>
      <c r="W329" s="6">
        <f>IF(COUNTIF($A$2:A329,A329)=1,1,0)</f>
        <v/>
      </c>
    </row>
    <row r="330">
      <c r="A330" s="6" t="inlineStr">
        <is>
          <t>PO-1253</t>
        </is>
      </c>
      <c r="B330" s="6" t="inlineStr">
        <is>
          <t>SUP-002</t>
        </is>
      </c>
      <c r="C330" s="6" t="inlineStr">
        <is>
          <t>GPU Servers</t>
        </is>
      </c>
      <c r="D330" s="6" t="n">
        <v>8471.5</v>
      </c>
      <c r="E330" s="26" t="n">
        <v>46175</v>
      </c>
      <c r="F330" s="6" t="n">
        <v>20</v>
      </c>
      <c r="G330" s="27" t="n">
        <v>18649.86</v>
      </c>
      <c r="H330" s="6" t="inlineStr">
        <is>
          <t>CIF</t>
        </is>
      </c>
      <c r="I330" s="6" t="inlineStr">
        <is>
          <t>Truck</t>
        </is>
      </c>
      <c r="J330" s="26" t="n">
        <v>46185</v>
      </c>
      <c r="K330" s="26" t="n">
        <v>46183</v>
      </c>
      <c r="L330" s="6" t="n">
        <v>1</v>
      </c>
      <c r="M330" s="6" t="inlineStr">
        <is>
          <t>N</t>
        </is>
      </c>
      <c r="N330" s="6" t="inlineStr">
        <is>
          <t>Delivered</t>
        </is>
      </c>
      <c r="O330" s="6">
        <f>IF(K330="",0,K330-E330)</f>
        <v/>
      </c>
      <c r="P330" s="6">
        <f>IF(N330&lt;&gt;"Delivered","",IF(K330&lt;=J330,1,0))</f>
        <v/>
      </c>
      <c r="Q330" s="6">
        <f>IFERROR(INDEX(Raw_Suppliers!$C$2:$C$4,MATCH(B330,Raw_Suppliers!$A$2:$A$4,0)),"")</f>
        <v/>
      </c>
      <c r="R330" s="6">
        <f>Q330&amp;"|"&amp;D330</f>
        <v/>
      </c>
      <c r="S330" s="28">
        <f>IFERROR(INDEX(Raw_Tariff_Ref!$H$2:$H$10,MATCH(R330,Raw_Tariff_Ref!$I$2:$I$10,0)),0)</f>
        <v/>
      </c>
      <c r="T330" s="27">
        <f>IF(G330="","",G330*F330)</f>
        <v/>
      </c>
      <c r="U330" s="27">
        <f>IF(G330="","",G330*(1+S330))</f>
        <v/>
      </c>
      <c r="V330" s="27">
        <f>IF(U330="","",U330*F330)</f>
        <v/>
      </c>
      <c r="W330" s="6">
        <f>IF(COUNTIF($A$2:A330,A330)=1,1,0)</f>
        <v/>
      </c>
    </row>
    <row r="331">
      <c r="A331" s="6" t="inlineStr">
        <is>
          <t>PO-1024</t>
        </is>
      </c>
      <c r="B331" s="6" t="inlineStr">
        <is>
          <t>SUP-001</t>
        </is>
      </c>
      <c r="C331" s="6" t="inlineStr">
        <is>
          <t>PDU / MEP Equipment</t>
        </is>
      </c>
      <c r="D331" s="6" t="n">
        <v>8537.1</v>
      </c>
      <c r="E331" s="26" t="n">
        <v>46177</v>
      </c>
      <c r="F331" s="6" t="n">
        <v>5</v>
      </c>
      <c r="G331" s="27" t="n">
        <v>2368.14</v>
      </c>
      <c r="H331" s="6" t="inlineStr">
        <is>
          <t>FOB</t>
        </is>
      </c>
      <c r="I331" s="6" t="inlineStr">
        <is>
          <t>Truck</t>
        </is>
      </c>
      <c r="J331" s="26" t="n">
        <v>46191</v>
      </c>
      <c r="K331" s="26" t="n">
        <v>46208</v>
      </c>
      <c r="L331" s="6" t="n">
        <v>0</v>
      </c>
      <c r="M331" s="6" t="inlineStr">
        <is>
          <t>N</t>
        </is>
      </c>
      <c r="N331" s="6" t="inlineStr">
        <is>
          <t>Delivered</t>
        </is>
      </c>
      <c r="O331" s="6">
        <f>IF(K331="",0,K331-E331)</f>
        <v/>
      </c>
      <c r="P331" s="6">
        <f>IF(N331&lt;&gt;"Delivered","",IF(K331&lt;=J331,1,0))</f>
        <v/>
      </c>
      <c r="Q331" s="6">
        <f>IFERROR(INDEX(Raw_Suppliers!$C$2:$C$4,MATCH(B331,Raw_Suppliers!$A$2:$A$4,0)),"")</f>
        <v/>
      </c>
      <c r="R331" s="6">
        <f>Q331&amp;"|"&amp;D331</f>
        <v/>
      </c>
      <c r="S331" s="28">
        <f>IFERROR(INDEX(Raw_Tariff_Ref!$H$2:$H$10,MATCH(R331,Raw_Tariff_Ref!$I$2:$I$10,0)),0)</f>
        <v/>
      </c>
      <c r="T331" s="27">
        <f>IF(G331="","",G331*F331)</f>
        <v/>
      </c>
      <c r="U331" s="27">
        <f>IF(G331="","",G331*(1+S331))</f>
        <v/>
      </c>
      <c r="V331" s="27">
        <f>IF(U331="","",U331*F331)</f>
        <v/>
      </c>
      <c r="W331" s="6">
        <f>IF(COUNTIF($A$2:A331,A331)=1,1,0)</f>
        <v/>
      </c>
    </row>
    <row r="332">
      <c r="A332" s="6" t="inlineStr">
        <is>
          <t>PO-1336</t>
        </is>
      </c>
      <c r="B332" s="6" t="inlineStr">
        <is>
          <t>SUP-001</t>
        </is>
      </c>
      <c r="C332" s="6" t="inlineStr">
        <is>
          <t>GPU Servers</t>
        </is>
      </c>
      <c r="D332" s="6" t="n">
        <v>8471.5</v>
      </c>
      <c r="E332" s="26" t="n">
        <v>46177</v>
      </c>
      <c r="F332" s="6" t="n">
        <v>40</v>
      </c>
      <c r="G332" s="27" t="n">
        <v>23938.83</v>
      </c>
      <c r="H332" s="6" t="inlineStr">
        <is>
          <t>FOB</t>
        </is>
      </c>
      <c r="I332" s="6" t="inlineStr">
        <is>
          <t>Truck</t>
        </is>
      </c>
      <c r="J332" s="26" t="n">
        <v>46191</v>
      </c>
      <c r="K332" s="26" t="n">
        <v>46191</v>
      </c>
      <c r="L332" s="6" t="n">
        <v>1</v>
      </c>
      <c r="M332" s="6" t="inlineStr">
        <is>
          <t>N</t>
        </is>
      </c>
      <c r="N332" s="6" t="inlineStr">
        <is>
          <t>Delivered</t>
        </is>
      </c>
      <c r="O332" s="6">
        <f>IF(K332="",0,K332-E332)</f>
        <v/>
      </c>
      <c r="P332" s="6">
        <f>IF(N332&lt;&gt;"Delivered","",IF(K332&lt;=J332,1,0))</f>
        <v/>
      </c>
      <c r="Q332" s="6">
        <f>IFERROR(INDEX(Raw_Suppliers!$C$2:$C$4,MATCH(B332,Raw_Suppliers!$A$2:$A$4,0)),"")</f>
        <v/>
      </c>
      <c r="R332" s="6">
        <f>Q332&amp;"|"&amp;D332</f>
        <v/>
      </c>
      <c r="S332" s="28">
        <f>IFERROR(INDEX(Raw_Tariff_Ref!$H$2:$H$10,MATCH(R332,Raw_Tariff_Ref!$I$2:$I$10,0)),0)</f>
        <v/>
      </c>
      <c r="T332" s="27">
        <f>IF(G332="","",G332*F332)</f>
        <v/>
      </c>
      <c r="U332" s="27">
        <f>IF(G332="","",G332*(1+S332))</f>
        <v/>
      </c>
      <c r="V332" s="27">
        <f>IF(U332="","",U332*F332)</f>
        <v/>
      </c>
      <c r="W332" s="6">
        <f>IF(COUNTIF($A$2:A332,A332)=1,1,0)</f>
        <v/>
      </c>
    </row>
    <row r="333">
      <c r="A333" s="6" t="inlineStr">
        <is>
          <t>PO-1153</t>
        </is>
      </c>
      <c r="B333" s="6" t="inlineStr">
        <is>
          <t>SUP-003</t>
        </is>
      </c>
      <c r="C333" s="6" t="inlineStr">
        <is>
          <t>GPU Servers</t>
        </is>
      </c>
      <c r="D333" s="6" t="n">
        <v>8471.5</v>
      </c>
      <c r="E333" s="26" t="n">
        <v>46182</v>
      </c>
      <c r="F333" s="6" t="n">
        <v>25</v>
      </c>
      <c r="G333" s="27" t="n">
        <v>13989.11</v>
      </c>
      <c r="H333" s="6" t="inlineStr">
        <is>
          <t>FOB</t>
        </is>
      </c>
      <c r="I333" s="6" t="inlineStr">
        <is>
          <t>Ocean</t>
        </is>
      </c>
      <c r="J333" s="26" t="n">
        <v>46225</v>
      </c>
      <c r="K333" s="26" t="n"/>
      <c r="L333" s="6" t="n">
        <v>9</v>
      </c>
      <c r="M333" s="6" t="inlineStr">
        <is>
          <t>N</t>
        </is>
      </c>
      <c r="N333" s="6" t="inlineStr">
        <is>
          <t>In Transit</t>
        </is>
      </c>
      <c r="O333" s="6">
        <f>IF(K333="",0,K333-E333)</f>
        <v/>
      </c>
      <c r="P333" s="6">
        <f>IF(N333&lt;&gt;"Delivered","",IF(K333&lt;=J333,1,0))</f>
        <v/>
      </c>
      <c r="Q333" s="6">
        <f>IFERROR(INDEX(Raw_Suppliers!$C$2:$C$4,MATCH(B333,Raw_Suppliers!$A$2:$A$4,0)),"")</f>
        <v/>
      </c>
      <c r="R333" s="6">
        <f>Q333&amp;"|"&amp;D333</f>
        <v/>
      </c>
      <c r="S333" s="28">
        <f>IFERROR(INDEX(Raw_Tariff_Ref!$H$2:$H$10,MATCH(R333,Raw_Tariff_Ref!$I$2:$I$10,0)),0)</f>
        <v/>
      </c>
      <c r="T333" s="27">
        <f>IF(G333="","",G333*F333)</f>
        <v/>
      </c>
      <c r="U333" s="27">
        <f>IF(G333="","",G333*(1+S333))</f>
        <v/>
      </c>
      <c r="V333" s="27">
        <f>IF(U333="","",U333*F333)</f>
        <v/>
      </c>
      <c r="W333" s="6">
        <f>IF(COUNTIF($A$2:A333,A333)=1,1,0)</f>
        <v/>
      </c>
    </row>
    <row r="334">
      <c r="A334" s="6" t="inlineStr">
        <is>
          <t>PO-1111</t>
        </is>
      </c>
      <c r="B334" s="6" t="inlineStr">
        <is>
          <t>SUP-002</t>
        </is>
      </c>
      <c r="C334" s="6" t="inlineStr">
        <is>
          <t>GPU Servers</t>
        </is>
      </c>
      <c r="D334" s="6" t="n">
        <v>8471.5</v>
      </c>
      <c r="E334" s="26" t="n">
        <v>46188</v>
      </c>
      <c r="F334" s="6" t="n">
        <v>25</v>
      </c>
      <c r="G334" s="27" t="n">
        <v>21542</v>
      </c>
      <c r="H334" s="6" t="inlineStr">
        <is>
          <t>FOB</t>
        </is>
      </c>
      <c r="I334" s="6" t="inlineStr">
        <is>
          <t>Ocean</t>
        </is>
      </c>
      <c r="J334" s="26" t="n">
        <v>46207</v>
      </c>
      <c r="K334" s="26" t="n"/>
      <c r="L334" s="6" t="n">
        <v>4</v>
      </c>
      <c r="M334" s="6" t="inlineStr">
        <is>
          <t>N</t>
        </is>
      </c>
      <c r="N334" s="6" t="inlineStr">
        <is>
          <t>In Transit</t>
        </is>
      </c>
      <c r="O334" s="6">
        <f>IF(K334="",0,K334-E334)</f>
        <v/>
      </c>
      <c r="P334" s="6">
        <f>IF(N334&lt;&gt;"Delivered","",IF(K334&lt;=J334,1,0))</f>
        <v/>
      </c>
      <c r="Q334" s="6">
        <f>IFERROR(INDEX(Raw_Suppliers!$C$2:$C$4,MATCH(B334,Raw_Suppliers!$A$2:$A$4,0)),"")</f>
        <v/>
      </c>
      <c r="R334" s="6">
        <f>Q334&amp;"|"&amp;D334</f>
        <v/>
      </c>
      <c r="S334" s="28">
        <f>IFERROR(INDEX(Raw_Tariff_Ref!$H$2:$H$10,MATCH(R334,Raw_Tariff_Ref!$I$2:$I$10,0)),0)</f>
        <v/>
      </c>
      <c r="T334" s="27">
        <f>IF(G334="","",G334*F334)</f>
        <v/>
      </c>
      <c r="U334" s="27">
        <f>IF(G334="","",G334*(1+S334))</f>
        <v/>
      </c>
      <c r="V334" s="27">
        <f>IF(U334="","",U334*F334)</f>
        <v/>
      </c>
      <c r="W334" s="6">
        <f>IF(COUNTIF($A$2:A334,A334)=1,1,0)</f>
        <v/>
      </c>
    </row>
    <row r="335">
      <c r="A335" s="6" t="inlineStr">
        <is>
          <t>PO-1157</t>
        </is>
      </c>
      <c r="B335" s="6" t="inlineStr">
        <is>
          <t>SUP-002</t>
        </is>
      </c>
      <c r="C335" s="6" t="inlineStr">
        <is>
          <t>GPU Servers</t>
        </is>
      </c>
      <c r="D335" s="6" t="n">
        <v>8471.5</v>
      </c>
      <c r="E335" s="26" t="n">
        <v>46190</v>
      </c>
      <c r="F335" s="6" t="n">
        <v>20</v>
      </c>
      <c r="G335" s="27" t="n">
        <v>16747.87</v>
      </c>
      <c r="H335" s="6" t="inlineStr">
        <is>
          <t>fob</t>
        </is>
      </c>
      <c r="I335" s="6" t="inlineStr">
        <is>
          <t>Ocean</t>
        </is>
      </c>
      <c r="J335" s="26" t="n">
        <v>46211</v>
      </c>
      <c r="K335" s="26" t="n"/>
      <c r="L335" s="6" t="n">
        <v>3</v>
      </c>
      <c r="M335" s="6" t="inlineStr">
        <is>
          <t>N</t>
        </is>
      </c>
      <c r="N335" s="6" t="inlineStr">
        <is>
          <t>In Transit</t>
        </is>
      </c>
      <c r="O335" s="6">
        <f>IF(K335="",0,K335-E335)</f>
        <v/>
      </c>
      <c r="P335" s="6">
        <f>IF(N335&lt;&gt;"Delivered","",IF(K335&lt;=J335,1,0))</f>
        <v/>
      </c>
      <c r="Q335" s="6">
        <f>IFERROR(INDEX(Raw_Suppliers!$C$2:$C$4,MATCH(B335,Raw_Suppliers!$A$2:$A$4,0)),"")</f>
        <v/>
      </c>
      <c r="R335" s="6">
        <f>Q335&amp;"|"&amp;D335</f>
        <v/>
      </c>
      <c r="S335" s="28">
        <f>IFERROR(INDEX(Raw_Tariff_Ref!$H$2:$H$10,MATCH(R335,Raw_Tariff_Ref!$I$2:$I$10,0)),0)</f>
        <v/>
      </c>
      <c r="T335" s="27">
        <f>IF(G335="","",G335*F335)</f>
        <v/>
      </c>
      <c r="U335" s="27">
        <f>IF(G335="","",G335*(1+S335))</f>
        <v/>
      </c>
      <c r="V335" s="27">
        <f>IF(U335="","",U335*F335)</f>
        <v/>
      </c>
      <c r="W335" s="6">
        <f>IF(COUNTIF($A$2:A335,A335)=1,1,0)</f>
        <v/>
      </c>
    </row>
    <row r="336">
      <c r="A336" s="6" t="inlineStr">
        <is>
          <t>PO-1165</t>
        </is>
      </c>
      <c r="B336" s="6" t="inlineStr">
        <is>
          <t>SUP-003</t>
        </is>
      </c>
      <c r="C336" s="6" t="inlineStr">
        <is>
          <t>Network Switches</t>
        </is>
      </c>
      <c r="D336" s="6" t="n">
        <v>8517.620000000001</v>
      </c>
      <c r="E336" s="26" t="n">
        <v>46193</v>
      </c>
      <c r="F336" s="6" t="n">
        <v>4</v>
      </c>
      <c r="G336" s="27" t="n">
        <v>2863.63</v>
      </c>
      <c r="H336" s="6" t="inlineStr">
        <is>
          <t>FOB</t>
        </is>
      </c>
      <c r="I336" s="6" t="inlineStr">
        <is>
          <t>Air</t>
        </is>
      </c>
      <c r="J336" s="26" t="n">
        <v>46231</v>
      </c>
      <c r="K336" s="26" t="n"/>
      <c r="L336" s="6" t="n">
        <v>6</v>
      </c>
      <c r="M336" s="6" t="inlineStr">
        <is>
          <t>N</t>
        </is>
      </c>
      <c r="N336" s="6" t="inlineStr">
        <is>
          <t>In Transit</t>
        </is>
      </c>
      <c r="O336" s="6">
        <f>IF(K336="",0,K336-E336)</f>
        <v/>
      </c>
      <c r="P336" s="6">
        <f>IF(N336&lt;&gt;"Delivered","",IF(K336&lt;=J336,1,0))</f>
        <v/>
      </c>
      <c r="Q336" s="6">
        <f>IFERROR(INDEX(Raw_Suppliers!$C$2:$C$4,MATCH(B336,Raw_Suppliers!$A$2:$A$4,0)),"")</f>
        <v/>
      </c>
      <c r="R336" s="6">
        <f>Q336&amp;"|"&amp;D336</f>
        <v/>
      </c>
      <c r="S336" s="28">
        <f>IFERROR(INDEX(Raw_Tariff_Ref!$H$2:$H$10,MATCH(R336,Raw_Tariff_Ref!$I$2:$I$10,0)),0)</f>
        <v/>
      </c>
      <c r="T336" s="27">
        <f>IF(G336="","",G336*F336)</f>
        <v/>
      </c>
      <c r="U336" s="27">
        <f>IF(G336="","",G336*(1+S336))</f>
        <v/>
      </c>
      <c r="V336" s="27">
        <f>IF(U336="","",U336*F336)</f>
        <v/>
      </c>
      <c r="W336" s="6">
        <f>IF(COUNTIF($A$2:A336,A336)=1,1,0)</f>
        <v/>
      </c>
    </row>
    <row r="337">
      <c r="A337" s="6" t="inlineStr">
        <is>
          <t>PO-1039</t>
        </is>
      </c>
      <c r="B337" s="6" t="inlineStr">
        <is>
          <t>SUP-003</t>
        </is>
      </c>
      <c r="C337" s="6" t="inlineStr">
        <is>
          <t>PDU / MEP Equipment</t>
        </is>
      </c>
      <c r="D337" s="6" t="n">
        <v>8537.1</v>
      </c>
      <c r="E337" s="26" t="n">
        <v>46195</v>
      </c>
      <c r="F337" s="6" t="n">
        <v>8</v>
      </c>
      <c r="G337" s="27" t="n">
        <v>1790.22</v>
      </c>
      <c r="H337" s="6" t="inlineStr">
        <is>
          <t>EXW</t>
        </is>
      </c>
      <c r="I337" s="6" t="inlineStr">
        <is>
          <t>Air</t>
        </is>
      </c>
      <c r="J337" s="26" t="n">
        <v>46227</v>
      </c>
      <c r="K337" s="26" t="n"/>
      <c r="L337" s="6" t="n">
        <v>12</v>
      </c>
      <c r="M337" s="6" t="inlineStr">
        <is>
          <t>N</t>
        </is>
      </c>
      <c r="N337" s="6" t="inlineStr">
        <is>
          <t>In Transit</t>
        </is>
      </c>
      <c r="O337" s="6">
        <f>IF(K337="",0,K337-E337)</f>
        <v/>
      </c>
      <c r="P337" s="6">
        <f>IF(N337&lt;&gt;"Delivered","",IF(K337&lt;=J337,1,0))</f>
        <v/>
      </c>
      <c r="Q337" s="6">
        <f>IFERROR(INDEX(Raw_Suppliers!$C$2:$C$4,MATCH(B337,Raw_Suppliers!$A$2:$A$4,0)),"")</f>
        <v/>
      </c>
      <c r="R337" s="6">
        <f>Q337&amp;"|"&amp;D337</f>
        <v/>
      </c>
      <c r="S337" s="28">
        <f>IFERROR(INDEX(Raw_Tariff_Ref!$H$2:$H$10,MATCH(R337,Raw_Tariff_Ref!$I$2:$I$10,0)),0)</f>
        <v/>
      </c>
      <c r="T337" s="27">
        <f>IF(G337="","",G337*F337)</f>
        <v/>
      </c>
      <c r="U337" s="27">
        <f>IF(G337="","",G337*(1+S337))</f>
        <v/>
      </c>
      <c r="V337" s="27">
        <f>IF(U337="","",U337*F337)</f>
        <v/>
      </c>
      <c r="W337" s="6">
        <f>IF(COUNTIF($A$2:A337,A337)=1,1,0)</f>
        <v/>
      </c>
    </row>
    <row r="338">
      <c r="A338" s="6" t="inlineStr">
        <is>
          <t>PO-1026</t>
        </is>
      </c>
      <c r="B338" s="6" t="inlineStr">
        <is>
          <t>SUP-003</t>
        </is>
      </c>
      <c r="C338" s="6" t="inlineStr">
        <is>
          <t>GPU Servers</t>
        </is>
      </c>
      <c r="D338" s="6" t="n">
        <v>8471.5</v>
      </c>
      <c r="E338" s="26" t="n">
        <v>46198</v>
      </c>
      <c r="F338" s="6" t="n">
        <v>8</v>
      </c>
      <c r="G338" s="27" t="n">
        <v>14665.65</v>
      </c>
      <c r="H338" s="6" t="inlineStr">
        <is>
          <t>FOB</t>
        </is>
      </c>
      <c r="I338" s="6" t="inlineStr">
        <is>
          <t>Ocean</t>
        </is>
      </c>
      <c r="J338" s="26" t="n">
        <v>46230</v>
      </c>
      <c r="K338" s="26" t="n"/>
      <c r="L338" s="6" t="n">
        <v>7</v>
      </c>
      <c r="M338" s="6" t="inlineStr">
        <is>
          <t>N</t>
        </is>
      </c>
      <c r="N338" s="6" t="inlineStr">
        <is>
          <t>In Transit</t>
        </is>
      </c>
      <c r="O338" s="6">
        <f>IF(K338="",0,K338-E338)</f>
        <v/>
      </c>
      <c r="P338" s="6">
        <f>IF(N338&lt;&gt;"Delivered","",IF(K338&lt;=J338,1,0))</f>
        <v/>
      </c>
      <c r="Q338" s="6">
        <f>IFERROR(INDEX(Raw_Suppliers!$C$2:$C$4,MATCH(B338,Raw_Suppliers!$A$2:$A$4,0)),"")</f>
        <v/>
      </c>
      <c r="R338" s="6">
        <f>Q338&amp;"|"&amp;D338</f>
        <v/>
      </c>
      <c r="S338" s="28">
        <f>IFERROR(INDEX(Raw_Tariff_Ref!$H$2:$H$10,MATCH(R338,Raw_Tariff_Ref!$I$2:$I$10,0)),0)</f>
        <v/>
      </c>
      <c r="T338" s="27">
        <f>IF(G338="","",G338*F338)</f>
        <v/>
      </c>
      <c r="U338" s="27">
        <f>IF(G338="","",G338*(1+S338))</f>
        <v/>
      </c>
      <c r="V338" s="27">
        <f>IF(U338="","",U338*F338)</f>
        <v/>
      </c>
      <c r="W338" s="6">
        <f>IF(COUNTIF($A$2:A338,A338)=1,1,0)</f>
        <v/>
      </c>
    </row>
    <row r="339">
      <c r="A339" s="6" t="inlineStr">
        <is>
          <t>PO-1339</t>
        </is>
      </c>
      <c r="B339" s="6" t="inlineStr">
        <is>
          <t>SUP-002</t>
        </is>
      </c>
      <c r="C339" s="6" t="inlineStr">
        <is>
          <t>Network Switches</t>
        </is>
      </c>
      <c r="D339" s="6" t="n">
        <v>8517.620000000001</v>
      </c>
      <c r="E339" s="26" t="n">
        <v>46198</v>
      </c>
      <c r="F339" s="6" t="n">
        <v>16</v>
      </c>
      <c r="G339" s="27" t="n">
        <v>4767.45</v>
      </c>
      <c r="H339" s="6" t="inlineStr">
        <is>
          <t>FOB</t>
        </is>
      </c>
      <c r="I339" s="6" t="inlineStr">
        <is>
          <t>Truck</t>
        </is>
      </c>
      <c r="J339" s="26" t="n">
        <v>46220</v>
      </c>
      <c r="K339" s="26" t="n"/>
      <c r="L339" s="6" t="n">
        <v>1</v>
      </c>
      <c r="M339" s="6" t="inlineStr">
        <is>
          <t>N</t>
        </is>
      </c>
      <c r="N339" s="6" t="inlineStr">
        <is>
          <t>In Transit</t>
        </is>
      </c>
      <c r="O339" s="6">
        <f>IF(K339="",0,K339-E339)</f>
        <v/>
      </c>
      <c r="P339" s="6">
        <f>IF(N339&lt;&gt;"Delivered","",IF(K339&lt;=J339,1,0))</f>
        <v/>
      </c>
      <c r="Q339" s="6">
        <f>IFERROR(INDEX(Raw_Suppliers!$C$2:$C$4,MATCH(B339,Raw_Suppliers!$A$2:$A$4,0)),"")</f>
        <v/>
      </c>
      <c r="R339" s="6">
        <f>Q339&amp;"|"&amp;D339</f>
        <v/>
      </c>
      <c r="S339" s="28">
        <f>IFERROR(INDEX(Raw_Tariff_Ref!$H$2:$H$10,MATCH(R339,Raw_Tariff_Ref!$I$2:$I$10,0)),0)</f>
        <v/>
      </c>
      <c r="T339" s="27">
        <f>IF(G339="","",G339*F339)</f>
        <v/>
      </c>
      <c r="U339" s="27">
        <f>IF(G339="","",G339*(1+S339))</f>
        <v/>
      </c>
      <c r="V339" s="27">
        <f>IF(U339="","",U339*F339)</f>
        <v/>
      </c>
      <c r="W339" s="6">
        <f>IF(COUNTIF($A$2:A339,A339)=1,1,0)</f>
        <v/>
      </c>
    </row>
    <row r="340">
      <c r="A340" s="6" t="inlineStr">
        <is>
          <t>PO-1071</t>
        </is>
      </c>
      <c r="B340" s="6" t="inlineStr">
        <is>
          <t>SUP-002</t>
        </is>
      </c>
      <c r="C340" s="6" t="inlineStr">
        <is>
          <t>Network Switches</t>
        </is>
      </c>
      <c r="D340" s="6" t="n">
        <v>8517.620000000001</v>
      </c>
      <c r="E340" s="26" t="n">
        <v>46198</v>
      </c>
      <c r="F340" s="6" t="n">
        <v>10</v>
      </c>
      <c r="G340" s="27" t="n">
        <v>4127.85</v>
      </c>
      <c r="H340" s="6" t="inlineStr">
        <is>
          <t>CIF</t>
        </is>
      </c>
      <c r="I340" s="6" t="inlineStr">
        <is>
          <t>Ocean</t>
        </is>
      </c>
      <c r="J340" s="26" t="n">
        <v>46217</v>
      </c>
      <c r="K340" s="26" t="n"/>
      <c r="L340" s="6" t="n">
        <v>1</v>
      </c>
      <c r="M340" s="6" t="inlineStr">
        <is>
          <t>N</t>
        </is>
      </c>
      <c r="N340" s="6" t="inlineStr">
        <is>
          <t>In Transit</t>
        </is>
      </c>
      <c r="O340" s="6">
        <f>IF(K340="",0,K340-E340)</f>
        <v/>
      </c>
      <c r="P340" s="6">
        <f>IF(N340&lt;&gt;"Delivered","",IF(K340&lt;=J340,1,0))</f>
        <v/>
      </c>
      <c r="Q340" s="6">
        <f>IFERROR(INDEX(Raw_Suppliers!$C$2:$C$4,MATCH(B340,Raw_Suppliers!$A$2:$A$4,0)),"")</f>
        <v/>
      </c>
      <c r="R340" s="6">
        <f>Q340&amp;"|"&amp;D340</f>
        <v/>
      </c>
      <c r="S340" s="28">
        <f>IFERROR(INDEX(Raw_Tariff_Ref!$H$2:$H$10,MATCH(R340,Raw_Tariff_Ref!$I$2:$I$10,0)),0)</f>
        <v/>
      </c>
      <c r="T340" s="27">
        <f>IF(G340="","",G340*F340)</f>
        <v/>
      </c>
      <c r="U340" s="27">
        <f>IF(G340="","",G340*(1+S340))</f>
        <v/>
      </c>
      <c r="V340" s="27">
        <f>IF(U340="","",U340*F340)</f>
        <v/>
      </c>
      <c r="W340" s="6">
        <f>IF(COUNTIF($A$2:A340,A340)=1,1,0)</f>
        <v/>
      </c>
    </row>
    <row r="341">
      <c r="A341" s="6" t="inlineStr">
        <is>
          <t>PO-1335</t>
        </is>
      </c>
      <c r="B341" s="6" t="inlineStr">
        <is>
          <t>SUP-002</t>
        </is>
      </c>
      <c r="C341" s="6" t="inlineStr">
        <is>
          <t>GPU Servers</t>
        </is>
      </c>
      <c r="D341" s="6" t="n">
        <v>8471.5</v>
      </c>
      <c r="E341" s="26" t="n">
        <v>46198</v>
      </c>
      <c r="F341" s="6" t="n">
        <v>20</v>
      </c>
      <c r="G341" s="27" t="n">
        <v>21237.62</v>
      </c>
      <c r="H341" s="6" t="inlineStr">
        <is>
          <t>FOB</t>
        </is>
      </c>
      <c r="I341" s="6" t="inlineStr">
        <is>
          <t>Ocean</t>
        </is>
      </c>
      <c r="J341" s="26" t="n">
        <v>46222</v>
      </c>
      <c r="K341" s="26" t="n"/>
      <c r="L341" s="6" t="n">
        <v>3</v>
      </c>
      <c r="M341" s="6" t="inlineStr">
        <is>
          <t>N</t>
        </is>
      </c>
      <c r="N341" s="6" t="inlineStr">
        <is>
          <t>In Transit</t>
        </is>
      </c>
      <c r="O341" s="6">
        <f>IF(K341="",0,K341-E341)</f>
        <v/>
      </c>
      <c r="P341" s="6">
        <f>IF(N341&lt;&gt;"Delivered","",IF(K341&lt;=J341,1,0))</f>
        <v/>
      </c>
      <c r="Q341" s="6">
        <f>IFERROR(INDEX(Raw_Suppliers!$C$2:$C$4,MATCH(B341,Raw_Suppliers!$A$2:$A$4,0)),"")</f>
        <v/>
      </c>
      <c r="R341" s="6">
        <f>Q341&amp;"|"&amp;D341</f>
        <v/>
      </c>
      <c r="S341" s="28">
        <f>IFERROR(INDEX(Raw_Tariff_Ref!$H$2:$H$10,MATCH(R341,Raw_Tariff_Ref!$I$2:$I$10,0)),0)</f>
        <v/>
      </c>
      <c r="T341" s="27">
        <f>IF(G341="","",G341*F341)</f>
        <v/>
      </c>
      <c r="U341" s="27">
        <f>IF(G341="","",G341*(1+S341))</f>
        <v/>
      </c>
      <c r="V341" s="27">
        <f>IF(U341="","",U341*F341)</f>
        <v/>
      </c>
      <c r="W341" s="6">
        <f>IF(COUNTIF($A$2:A341,A341)=1,1,0)</f>
        <v/>
      </c>
    </row>
    <row r="342">
      <c r="A342" s="6" t="inlineStr">
        <is>
          <t>PO-1293</t>
        </is>
      </c>
      <c r="B342" s="6" t="inlineStr">
        <is>
          <t>SUP-003</t>
        </is>
      </c>
      <c r="C342" s="6" t="inlineStr">
        <is>
          <t>Network Switches</t>
        </is>
      </c>
      <c r="D342" s="6" t="n">
        <v>8517.620000000001</v>
      </c>
      <c r="E342" s="26" t="n">
        <v>46199</v>
      </c>
      <c r="F342" s="6" t="n">
        <v>40</v>
      </c>
      <c r="G342" s="27" t="n">
        <v>2444.62</v>
      </c>
      <c r="H342" s="6" t="inlineStr">
        <is>
          <t>FOB</t>
        </is>
      </c>
      <c r="I342" s="6" t="inlineStr">
        <is>
          <t>Air</t>
        </is>
      </c>
      <c r="J342" s="26" t="n">
        <v>46231</v>
      </c>
      <c r="K342" s="26" t="n"/>
      <c r="L342" s="6" t="n">
        <v>11</v>
      </c>
      <c r="M342" s="6" t="inlineStr">
        <is>
          <t>N</t>
        </is>
      </c>
      <c r="N342" s="6" t="inlineStr">
        <is>
          <t>In Transit</t>
        </is>
      </c>
      <c r="O342" s="6">
        <f>IF(K342="",0,K342-E342)</f>
        <v/>
      </c>
      <c r="P342" s="6">
        <f>IF(N342&lt;&gt;"Delivered","",IF(K342&lt;=J342,1,0))</f>
        <v/>
      </c>
      <c r="Q342" s="6">
        <f>IFERROR(INDEX(Raw_Suppliers!$C$2:$C$4,MATCH(B342,Raw_Suppliers!$A$2:$A$4,0)),"")</f>
        <v/>
      </c>
      <c r="R342" s="6">
        <f>Q342&amp;"|"&amp;D342</f>
        <v/>
      </c>
      <c r="S342" s="28">
        <f>IFERROR(INDEX(Raw_Tariff_Ref!$H$2:$H$10,MATCH(R342,Raw_Tariff_Ref!$I$2:$I$10,0)),0)</f>
        <v/>
      </c>
      <c r="T342" s="27">
        <f>IF(G342="","",G342*F342)</f>
        <v/>
      </c>
      <c r="U342" s="27">
        <f>IF(G342="","",G342*(1+S342))</f>
        <v/>
      </c>
      <c r="V342" s="27">
        <f>IF(U342="","",U342*F342)</f>
        <v/>
      </c>
      <c r="W342" s="6">
        <f>IF(COUNTIF($A$2:A342,A342)=1,1,0)</f>
        <v/>
      </c>
    </row>
    <row r="343">
      <c r="A343" s="6" t="inlineStr">
        <is>
          <t>PO-1199</t>
        </is>
      </c>
      <c r="B343" s="6" t="inlineStr">
        <is>
          <t>SUP-003</t>
        </is>
      </c>
      <c r="C343" s="6" t="inlineStr">
        <is>
          <t>GPU Servers</t>
        </is>
      </c>
      <c r="D343" s="6" t="n">
        <v>8471.5</v>
      </c>
      <c r="E343" s="26" t="n">
        <v>46199</v>
      </c>
      <c r="F343" s="6" t="n">
        <v>25</v>
      </c>
      <c r="G343" s="27" t="n">
        <v>13285.39</v>
      </c>
      <c r="H343" s="6" t="inlineStr">
        <is>
          <t>EXW</t>
        </is>
      </c>
      <c r="I343" s="6" t="inlineStr">
        <is>
          <t>Ocean</t>
        </is>
      </c>
      <c r="J343" s="26" t="n">
        <v>46227</v>
      </c>
      <c r="K343" s="26" t="n"/>
      <c r="L343" s="6" t="n">
        <v>8</v>
      </c>
      <c r="M343" s="6" t="inlineStr">
        <is>
          <t>N</t>
        </is>
      </c>
      <c r="N343" s="6" t="inlineStr">
        <is>
          <t>In Transit</t>
        </is>
      </c>
      <c r="O343" s="6">
        <f>IF(K343="",0,K343-E343)</f>
        <v/>
      </c>
      <c r="P343" s="6">
        <f>IF(N343&lt;&gt;"Delivered","",IF(K343&lt;=J343,1,0))</f>
        <v/>
      </c>
      <c r="Q343" s="6">
        <f>IFERROR(INDEX(Raw_Suppliers!$C$2:$C$4,MATCH(B343,Raw_Suppliers!$A$2:$A$4,0)),"")</f>
        <v/>
      </c>
      <c r="R343" s="6">
        <f>Q343&amp;"|"&amp;D343</f>
        <v/>
      </c>
      <c r="S343" s="28">
        <f>IFERROR(INDEX(Raw_Tariff_Ref!$H$2:$H$10,MATCH(R343,Raw_Tariff_Ref!$I$2:$I$10,0)),0)</f>
        <v/>
      </c>
      <c r="T343" s="27">
        <f>IF(G343="","",G343*F343)</f>
        <v/>
      </c>
      <c r="U343" s="27">
        <f>IF(G343="","",G343*(1+S343))</f>
        <v/>
      </c>
      <c r="V343" s="27">
        <f>IF(U343="","",U343*F343)</f>
        <v/>
      </c>
      <c r="W343" s="6">
        <f>IF(COUNTIF($A$2:A343,A343)=1,1,0)</f>
        <v/>
      </c>
    </row>
    <row r="344">
      <c r="A344" s="6" t="inlineStr">
        <is>
          <t>PO-1188</t>
        </is>
      </c>
      <c r="B344" s="6" t="inlineStr">
        <is>
          <t>SUP-002</t>
        </is>
      </c>
      <c r="C344" s="6" t="inlineStr">
        <is>
          <t>Network Switches</t>
        </is>
      </c>
      <c r="D344" s="6" t="n">
        <v>8517.620000000001</v>
      </c>
      <c r="E344" s="26" t="n">
        <v>46199</v>
      </c>
      <c r="F344" s="6" t="n">
        <v>16</v>
      </c>
      <c r="G344" s="27" t="n">
        <v>5096.28</v>
      </c>
      <c r="H344" s="6" t="inlineStr">
        <is>
          <t>FOB</t>
        </is>
      </c>
      <c r="I344" s="6" t="inlineStr">
        <is>
          <t>truck</t>
        </is>
      </c>
      <c r="J344" s="26" t="n">
        <v>46218</v>
      </c>
      <c r="K344" s="26" t="n"/>
      <c r="L344" s="6" t="n">
        <v>1</v>
      </c>
      <c r="M344" s="6" t="inlineStr">
        <is>
          <t>N</t>
        </is>
      </c>
      <c r="N344" s="6" t="inlineStr">
        <is>
          <t>In Transit</t>
        </is>
      </c>
      <c r="O344" s="6">
        <f>IF(K344="",0,K344-E344)</f>
        <v/>
      </c>
      <c r="P344" s="6">
        <f>IF(N344&lt;&gt;"Delivered","",IF(K344&lt;=J344,1,0))</f>
        <v/>
      </c>
      <c r="Q344" s="6">
        <f>IFERROR(INDEX(Raw_Suppliers!$C$2:$C$4,MATCH(B344,Raw_Suppliers!$A$2:$A$4,0)),"")</f>
        <v/>
      </c>
      <c r="R344" s="6">
        <f>Q344&amp;"|"&amp;D344</f>
        <v/>
      </c>
      <c r="S344" s="28">
        <f>IFERROR(INDEX(Raw_Tariff_Ref!$H$2:$H$10,MATCH(R344,Raw_Tariff_Ref!$I$2:$I$10,0)),0)</f>
        <v/>
      </c>
      <c r="T344" s="27">
        <f>IF(G344="","",G344*F344)</f>
        <v/>
      </c>
      <c r="U344" s="27">
        <f>IF(G344="","",G344*(1+S344))</f>
        <v/>
      </c>
      <c r="V344" s="27">
        <f>IF(U344="","",U344*F344)</f>
        <v/>
      </c>
      <c r="W344" s="6">
        <f>IF(COUNTIF($A$2:A344,A344)=1,1,0)</f>
        <v/>
      </c>
    </row>
    <row r="345">
      <c r="A345" s="6" t="inlineStr">
        <is>
          <t>PO-1170</t>
        </is>
      </c>
      <c r="B345" s="6" t="inlineStr">
        <is>
          <t>SUP-002</t>
        </is>
      </c>
      <c r="C345" s="6" t="inlineStr">
        <is>
          <t>GPU Servers</t>
        </is>
      </c>
      <c r="D345" s="6" t="n">
        <v>8471.5</v>
      </c>
      <c r="E345" s="26" t="n">
        <v>46201</v>
      </c>
      <c r="F345" s="6" t="n">
        <v>40</v>
      </c>
      <c r="G345" s="27" t="n">
        <v>21582.67</v>
      </c>
      <c r="H345" s="6" t="inlineStr">
        <is>
          <t>CIF</t>
        </is>
      </c>
      <c r="I345" s="6" t="inlineStr">
        <is>
          <t>Truck</t>
        </is>
      </c>
      <c r="J345" s="26" t="n">
        <v>46218</v>
      </c>
      <c r="K345" s="26" t="n"/>
      <c r="L345" s="6" t="n">
        <v>4</v>
      </c>
      <c r="M345" s="6" t="inlineStr">
        <is>
          <t>N</t>
        </is>
      </c>
      <c r="N345" s="6" t="inlineStr">
        <is>
          <t>In Transit</t>
        </is>
      </c>
      <c r="O345" s="6">
        <f>IF(K345="",0,K345-E345)</f>
        <v/>
      </c>
      <c r="P345" s="6">
        <f>IF(N345&lt;&gt;"Delivered","",IF(K345&lt;=J345,1,0))</f>
        <v/>
      </c>
      <c r="Q345" s="6">
        <f>IFERROR(INDEX(Raw_Suppliers!$C$2:$C$4,MATCH(B345,Raw_Suppliers!$A$2:$A$4,0)),"")</f>
        <v/>
      </c>
      <c r="R345" s="6">
        <f>Q345&amp;"|"&amp;D345</f>
        <v/>
      </c>
      <c r="S345" s="28">
        <f>IFERROR(INDEX(Raw_Tariff_Ref!$H$2:$H$10,MATCH(R345,Raw_Tariff_Ref!$I$2:$I$10,0)),0)</f>
        <v/>
      </c>
      <c r="T345" s="27">
        <f>IF(G345="","",G345*F345)</f>
        <v/>
      </c>
      <c r="U345" s="27">
        <f>IF(G345="","",G345*(1+S345))</f>
        <v/>
      </c>
      <c r="V345" s="27">
        <f>IF(U345="","",U345*F345)</f>
        <v/>
      </c>
      <c r="W345" s="6">
        <f>IF(COUNTIF($A$2:A345,A345)=1,1,0)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5" customWidth="1" min="4" max="4"/>
    <col width="16" customWidth="1" min="5" max="5"/>
    <col width="20" customWidth="1" min="6" max="6"/>
    <col width="16" customWidth="1" min="7" max="7"/>
    <col width="16" customWidth="1" min="8" max="8"/>
    <col width="22" customWidth="1" min="9" max="9"/>
  </cols>
  <sheetData>
    <row r="1">
      <c r="A1" s="10" t="inlineStr">
        <is>
          <t>Country</t>
        </is>
      </c>
      <c r="B1" s="10" t="inlineStr">
        <is>
          <t>HS_Code</t>
        </is>
      </c>
      <c r="C1" s="10" t="inlineStr">
        <is>
          <t>Product_Category</t>
        </is>
      </c>
      <c r="D1" s="10" t="inlineStr">
        <is>
          <t>Base_MFN_Rate</t>
        </is>
      </c>
      <c r="E1" s="10" t="inlineStr">
        <is>
          <t>Section_301_Rate</t>
        </is>
      </c>
      <c r="F1" s="10" t="inlineStr">
        <is>
          <t>Section_122_Surcharge</t>
        </is>
      </c>
      <c r="G1" s="10" t="inlineStr">
        <is>
          <t>USMCA_Qualifying</t>
        </is>
      </c>
      <c r="H1" s="10" t="inlineStr">
        <is>
          <t>Base_Effective_Rate</t>
        </is>
      </c>
      <c r="I1" s="10" t="inlineStr">
        <is>
          <t>Key</t>
        </is>
      </c>
    </row>
    <row r="2">
      <c r="A2" s="6" t="inlineStr">
        <is>
          <t>United States</t>
        </is>
      </c>
      <c r="B2" s="6" t="n">
        <v>8471.5</v>
      </c>
      <c r="C2" s="6" t="inlineStr">
        <is>
          <t>GPU Servers</t>
        </is>
      </c>
      <c r="D2" s="28" t="n">
        <v>0</v>
      </c>
      <c r="E2" s="28" t="n">
        <v>0</v>
      </c>
      <c r="F2" s="28" t="n">
        <v>0</v>
      </c>
      <c r="G2" s="6" t="n">
        <v/>
      </c>
      <c r="H2" s="28" t="n">
        <v>0</v>
      </c>
      <c r="I2" s="6">
        <f>A2&amp;"|"&amp;B2</f>
        <v/>
      </c>
    </row>
    <row r="3">
      <c r="A3" s="6" t="inlineStr">
        <is>
          <t>United States</t>
        </is>
      </c>
      <c r="B3" s="6" t="n">
        <v>8517.620000000001</v>
      </c>
      <c r="C3" s="6" t="inlineStr">
        <is>
          <t>Network Switches</t>
        </is>
      </c>
      <c r="D3" s="28" t="n">
        <v>0</v>
      </c>
      <c r="E3" s="28" t="n">
        <v>0</v>
      </c>
      <c r="F3" s="28" t="n">
        <v>0</v>
      </c>
      <c r="G3" s="6" t="n">
        <v/>
      </c>
      <c r="H3" s="28" t="n">
        <v>0</v>
      </c>
      <c r="I3" s="6">
        <f>A3&amp;"|"&amp;B3</f>
        <v/>
      </c>
    </row>
    <row r="4">
      <c r="A4" s="6" t="inlineStr">
        <is>
          <t>United States</t>
        </is>
      </c>
      <c r="B4" s="6" t="n">
        <v>8537.1</v>
      </c>
      <c r="C4" s="6" t="inlineStr">
        <is>
          <t>PDU / MEP Equipment</t>
        </is>
      </c>
      <c r="D4" s="28" t="n">
        <v>0</v>
      </c>
      <c r="E4" s="28" t="n">
        <v>0</v>
      </c>
      <c r="F4" s="28" t="n">
        <v>0</v>
      </c>
      <c r="G4" s="6" t="n">
        <v/>
      </c>
      <c r="H4" s="28" t="n">
        <v>0</v>
      </c>
      <c r="I4" s="6">
        <f>A4&amp;"|"&amp;B4</f>
        <v/>
      </c>
    </row>
    <row r="5">
      <c r="A5" s="6" t="inlineStr">
        <is>
          <t>Mexico</t>
        </is>
      </c>
      <c r="B5" s="6" t="n">
        <v>8471.5</v>
      </c>
      <c r="C5" s="6" t="inlineStr">
        <is>
          <t>GPU Servers</t>
        </is>
      </c>
      <c r="D5" s="28" t="n">
        <v>0</v>
      </c>
      <c r="E5" s="28" t="n">
        <v>0</v>
      </c>
      <c r="F5" s="28" t="n">
        <v>0</v>
      </c>
      <c r="G5" s="6" t="inlineStr">
        <is>
          <t>Y</t>
        </is>
      </c>
      <c r="H5" s="28" t="n">
        <v>0</v>
      </c>
      <c r="I5" s="6">
        <f>A5&amp;"|"&amp;B5</f>
        <v/>
      </c>
    </row>
    <row r="6">
      <c r="A6" s="6" t="inlineStr">
        <is>
          <t>Mexico</t>
        </is>
      </c>
      <c r="B6" s="6" t="n">
        <v>8517.620000000001</v>
      </c>
      <c r="C6" s="6" t="inlineStr">
        <is>
          <t>Network Switches</t>
        </is>
      </c>
      <c r="D6" s="28" t="n">
        <v>0</v>
      </c>
      <c r="E6" s="28" t="n">
        <v>0</v>
      </c>
      <c r="F6" s="28" t="n">
        <v>0</v>
      </c>
      <c r="G6" s="6" t="inlineStr">
        <is>
          <t>Y</t>
        </is>
      </c>
      <c r="H6" s="28" t="n">
        <v>0</v>
      </c>
      <c r="I6" s="6">
        <f>A6&amp;"|"&amp;B6</f>
        <v/>
      </c>
    </row>
    <row r="7">
      <c r="A7" s="6" t="inlineStr">
        <is>
          <t>Mexico</t>
        </is>
      </c>
      <c r="B7" s="6" t="n">
        <v>8537.1</v>
      </c>
      <c r="C7" s="6" t="inlineStr">
        <is>
          <t>PDU / MEP Equipment</t>
        </is>
      </c>
      <c r="D7" s="28" t="n">
        <v>0.025</v>
      </c>
      <c r="E7" s="28" t="n">
        <v>0</v>
      </c>
      <c r="F7" s="28" t="n">
        <v>0</v>
      </c>
      <c r="G7" s="6" t="inlineStr">
        <is>
          <t>N</t>
        </is>
      </c>
      <c r="H7" s="28" t="n">
        <v>0.025</v>
      </c>
      <c r="I7" s="6">
        <f>A7&amp;"|"&amp;B7</f>
        <v/>
      </c>
    </row>
    <row r="8">
      <c r="A8" s="6" t="inlineStr">
        <is>
          <t>China</t>
        </is>
      </c>
      <c r="B8" s="6" t="n">
        <v>8471.5</v>
      </c>
      <c r="C8" s="6" t="inlineStr">
        <is>
          <t>GPU Servers</t>
        </is>
      </c>
      <c r="D8" s="28" t="n">
        <v>0</v>
      </c>
      <c r="E8" s="28" t="n">
        <v>0.25</v>
      </c>
      <c r="F8" s="28" t="n">
        <v>0.1</v>
      </c>
      <c r="G8" s="6" t="n">
        <v/>
      </c>
      <c r="H8" s="28" t="n">
        <v>0.35</v>
      </c>
      <c r="I8" s="6">
        <f>A8&amp;"|"&amp;B8</f>
        <v/>
      </c>
    </row>
    <row r="9">
      <c r="A9" s="6" t="inlineStr">
        <is>
          <t>China</t>
        </is>
      </c>
      <c r="B9" s="6" t="n">
        <v>8517.620000000001</v>
      </c>
      <c r="C9" s="6" t="inlineStr">
        <is>
          <t>Network Switches</t>
        </is>
      </c>
      <c r="D9" s="28" t="n">
        <v>0</v>
      </c>
      <c r="E9" s="28" t="n">
        <v>0.25</v>
      </c>
      <c r="F9" s="28" t="n">
        <v>0.1</v>
      </c>
      <c r="G9" s="6" t="n">
        <v/>
      </c>
      <c r="H9" s="28" t="n">
        <v>0.35</v>
      </c>
      <c r="I9" s="6">
        <f>A9&amp;"|"&amp;B9</f>
        <v/>
      </c>
    </row>
    <row r="10">
      <c r="A10" s="6" t="inlineStr">
        <is>
          <t>China</t>
        </is>
      </c>
      <c r="B10" s="6" t="n">
        <v>8537.1</v>
      </c>
      <c r="C10" s="6" t="inlineStr">
        <is>
          <t>PDU / MEP Equipment</t>
        </is>
      </c>
      <c r="D10" s="28" t="n">
        <v>0</v>
      </c>
      <c r="E10" s="28" t="n">
        <v>0.25</v>
      </c>
      <c r="F10" s="28" t="n">
        <v>0.1</v>
      </c>
      <c r="G10" s="6" t="n">
        <v/>
      </c>
      <c r="H10" s="28" t="n">
        <v>0.35</v>
      </c>
      <c r="I10" s="6">
        <f>A10&amp;"|"&amp;B10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5" customWidth="1" min="4" max="4"/>
  </cols>
  <sheetData>
    <row r="1">
      <c r="A1" s="10" t="inlineStr">
        <is>
          <t>Scenario_Name</t>
        </is>
      </c>
      <c r="B1" s="10" t="inlineStr">
        <is>
          <t>Adjustment_Type</t>
        </is>
      </c>
      <c r="C1" s="10" t="inlineStr">
        <is>
          <t>Adjustment_Value</t>
        </is>
      </c>
      <c r="D1" s="10" t="inlineStr">
        <is>
          <t>Description</t>
        </is>
      </c>
    </row>
    <row r="2">
      <c r="A2" s="6" t="inlineStr">
        <is>
          <t>Current (Jul 2026)</t>
        </is>
      </c>
      <c r="B2" s="6" t="inlineStr">
        <is>
          <t>Additive</t>
        </is>
      </c>
      <c r="C2" s="19" t="n">
        <v>0</v>
      </c>
      <c r="D2" s="6" t="inlineStr">
        <is>
          <t>Baseline tariff rates: China ~35%, Mexico ~0%, US 0%</t>
        </is>
      </c>
    </row>
    <row r="3">
      <c r="A3" s="6" t="inlineStr">
        <is>
          <t>+10% escalation</t>
        </is>
      </c>
      <c r="B3" s="6" t="inlineStr">
        <is>
          <t>Additive</t>
        </is>
      </c>
      <c r="C3" s="19" t="n">
        <v>0.1</v>
      </c>
      <c r="D3" s="6" t="inlineStr">
        <is>
          <t>Moderate trade tension escalation (+10% tariff on offshore/nearshore non-US origins)</t>
        </is>
      </c>
    </row>
    <row r="4">
      <c r="A4" s="6" t="inlineStr">
        <is>
          <t>+25% escalation</t>
        </is>
      </c>
      <c r="B4" s="6" t="inlineStr">
        <is>
          <t>Additive</t>
        </is>
      </c>
      <c r="C4" s="19" t="n">
        <v>0.25</v>
      </c>
      <c r="D4" s="6" t="inlineStr">
        <is>
          <t>Aggressive trade penalty increase (+25% across foreign sourcing)</t>
        </is>
      </c>
    </row>
    <row r="5">
      <c r="A5" s="6" t="inlineStr">
        <is>
          <t>Section 122 sunset (China -10pt)</t>
        </is>
      </c>
      <c r="B5" s="6" t="inlineStr">
        <is>
          <t>Additive</t>
        </is>
      </c>
      <c r="C5" s="19" t="n">
        <v>-0.1</v>
      </c>
      <c r="D5" s="6" t="inlineStr">
        <is>
          <t>Statutory sunset of Section 122 surcharge on China (-10% effective)</t>
        </is>
      </c>
    </row>
    <row r="6">
      <c r="A6" s="6" t="inlineStr">
        <is>
          <t>Universal 50% (worst case)</t>
        </is>
      </c>
      <c r="B6" s="6" t="inlineStr">
        <is>
          <t>Absolute</t>
        </is>
      </c>
      <c r="C6" s="19" t="n">
        <v>0.5</v>
      </c>
      <c r="D6" s="6" t="inlineStr">
        <is>
          <t>Universal blanket tariff rate of 50% on all foreign imports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5" customWidth="1" min="6" max="6"/>
    <col width="14" customWidth="1" min="7" max="7"/>
  </cols>
  <sheetData>
    <row r="1">
      <c r="A1" s="10" t="inlineStr">
        <is>
          <t>Defect_ID</t>
        </is>
      </c>
      <c r="B1" s="10" t="inlineStr">
        <is>
          <t>PO_ID</t>
        </is>
      </c>
      <c r="C1" s="10" t="inlineStr">
        <is>
          <t>Supplier_ID</t>
        </is>
      </c>
      <c r="D1" s="10" t="inlineStr">
        <is>
          <t>Defect_Type</t>
        </is>
      </c>
      <c r="E1" s="10" t="inlineStr">
        <is>
          <t>Defect_Qty</t>
        </is>
      </c>
      <c r="F1" s="10" t="inlineStr">
        <is>
          <t>Detected_Date</t>
        </is>
      </c>
      <c r="G1" s="10" t="inlineStr">
        <is>
          <t>Resolution</t>
        </is>
      </c>
    </row>
    <row r="2">
      <c r="A2" s="6" t="inlineStr">
        <is>
          <t>DEF-0001</t>
        </is>
      </c>
      <c r="B2" s="6" t="inlineStr">
        <is>
          <t>PO-1095</t>
        </is>
      </c>
      <c r="C2" s="6" t="inlineStr">
        <is>
          <t>SUP-001</t>
        </is>
      </c>
      <c r="D2" s="6" t="inlineStr">
        <is>
          <t>Packaging Damage</t>
        </is>
      </c>
      <c r="E2" s="6" t="n">
        <v>1</v>
      </c>
      <c r="F2" s="26" t="n">
        <v>45707</v>
      </c>
      <c r="G2" s="6" t="inlineStr">
        <is>
          <t>Returned</t>
        </is>
      </c>
    </row>
    <row r="3">
      <c r="A3" s="6" t="inlineStr">
        <is>
          <t>DEF-0002</t>
        </is>
      </c>
      <c r="B3" s="6" t="inlineStr">
        <is>
          <t>PO-1242</t>
        </is>
      </c>
      <c r="C3" s="6" t="inlineStr">
        <is>
          <t>SUP-001</t>
        </is>
      </c>
      <c r="D3" s="6" t="inlineStr">
        <is>
          <t>Packaging Damage</t>
        </is>
      </c>
      <c r="E3" s="6" t="n">
        <v>1</v>
      </c>
      <c r="F3" s="26" t="n">
        <v>45769</v>
      </c>
      <c r="G3" s="6" t="inlineStr">
        <is>
          <t>Returned</t>
        </is>
      </c>
    </row>
    <row r="4">
      <c r="A4" s="6" t="inlineStr">
        <is>
          <t>DEF-0003</t>
        </is>
      </c>
      <c r="B4" s="6" t="inlineStr">
        <is>
          <t>PO-1001</t>
        </is>
      </c>
      <c r="C4" s="6" t="inlineStr">
        <is>
          <t>SUP-002</t>
        </is>
      </c>
      <c r="D4" s="6" t="inlineStr">
        <is>
          <t>Cosmetic Damage</t>
        </is>
      </c>
      <c r="E4" s="6" t="n">
        <v>3</v>
      </c>
      <c r="F4" s="26" t="n">
        <v>45775</v>
      </c>
      <c r="G4" s="6" t="inlineStr">
        <is>
          <t>Returned</t>
        </is>
      </c>
    </row>
    <row r="5">
      <c r="A5" s="6" t="inlineStr">
        <is>
          <t>DEF-0004</t>
        </is>
      </c>
      <c r="B5" s="6" t="inlineStr">
        <is>
          <t>PO-1057</t>
        </is>
      </c>
      <c r="C5" s="6" t="inlineStr">
        <is>
          <t>SUP-001</t>
        </is>
      </c>
      <c r="D5" s="6" t="inlineStr">
        <is>
          <t>Packaging Damage</t>
        </is>
      </c>
      <c r="E5" s="6" t="n">
        <v>3</v>
      </c>
      <c r="F5" s="26" t="n">
        <v>45847</v>
      </c>
      <c r="G5" s="6" t="inlineStr">
        <is>
          <t>Replaced</t>
        </is>
      </c>
    </row>
    <row r="6">
      <c r="A6" s="6" t="inlineStr">
        <is>
          <t>DEF-0005</t>
        </is>
      </c>
      <c r="B6" s="6" t="inlineStr">
        <is>
          <t>PO-1329</t>
        </is>
      </c>
      <c r="C6" s="6" t="inlineStr">
        <is>
          <t>SUP-003</t>
        </is>
      </c>
      <c r="D6" s="6" t="inlineStr">
        <is>
          <t>Cosmetic Damage</t>
        </is>
      </c>
      <c r="E6" s="6" t="n">
        <v>1</v>
      </c>
      <c r="F6" s="26" t="n">
        <v>45861</v>
      </c>
      <c r="G6" s="6" t="inlineStr">
        <is>
          <t>Pending</t>
        </is>
      </c>
    </row>
    <row r="7">
      <c r="A7" s="6" t="inlineStr">
        <is>
          <t>DEF-0006</t>
        </is>
      </c>
      <c r="B7" s="6" t="inlineStr">
        <is>
          <t>PO-1017</t>
        </is>
      </c>
      <c r="C7" s="6" t="inlineStr">
        <is>
          <t>SUP-003</t>
        </is>
      </c>
      <c r="D7" s="6" t="inlineStr">
        <is>
          <t>Packaging Damage</t>
        </is>
      </c>
      <c r="E7" s="6" t="n">
        <v>1</v>
      </c>
      <c r="F7" s="26" t="n">
        <v>45928</v>
      </c>
      <c r="G7" s="6" t="inlineStr">
        <is>
          <t>Replaced</t>
        </is>
      </c>
    </row>
    <row r="8">
      <c r="A8" s="6" t="inlineStr">
        <is>
          <t>DEF-0007</t>
        </is>
      </c>
      <c r="B8" s="6" t="inlineStr">
        <is>
          <t>PO-1086</t>
        </is>
      </c>
      <c r="C8" s="6" t="inlineStr">
        <is>
          <t>SUP-003</t>
        </is>
      </c>
      <c r="D8" s="6" t="inlineStr">
        <is>
          <t>Functional Failure</t>
        </is>
      </c>
      <c r="E8" s="6" t="n">
        <v>1</v>
      </c>
      <c r="F8" s="26" t="n">
        <v>45927</v>
      </c>
      <c r="G8" s="6" t="inlineStr">
        <is>
          <t>Pending</t>
        </is>
      </c>
    </row>
    <row r="9">
      <c r="A9" s="6" t="inlineStr">
        <is>
          <t>DEF-0008</t>
        </is>
      </c>
      <c r="B9" s="6" t="inlineStr">
        <is>
          <t>PO-1214</t>
        </is>
      </c>
      <c r="C9" s="6" t="inlineStr">
        <is>
          <t>SUP-002</t>
        </is>
      </c>
      <c r="D9" s="6" t="inlineStr">
        <is>
          <t>Wrong Item Shipped</t>
        </is>
      </c>
      <c r="E9" s="6" t="n">
        <v>6</v>
      </c>
      <c r="F9" s="26" t="n">
        <v>45927</v>
      </c>
      <c r="G9" s="6" t="inlineStr">
        <is>
          <t>Returned</t>
        </is>
      </c>
    </row>
    <row r="10">
      <c r="A10" s="6" t="inlineStr">
        <is>
          <t>DEF-0009</t>
        </is>
      </c>
      <c r="B10" s="6" t="inlineStr">
        <is>
          <t>PO-1195</t>
        </is>
      </c>
      <c r="C10" s="6" t="inlineStr">
        <is>
          <t>SUP-001</t>
        </is>
      </c>
      <c r="D10" s="6" t="inlineStr">
        <is>
          <t>Functional Failure</t>
        </is>
      </c>
      <c r="E10" s="6" t="n">
        <v>1</v>
      </c>
      <c r="F10" s="26" t="n">
        <v>46012</v>
      </c>
      <c r="G10" s="6" t="inlineStr">
        <is>
          <t>Replaced</t>
        </is>
      </c>
    </row>
    <row r="11">
      <c r="A11" s="6" t="inlineStr">
        <is>
          <t>DEF-0010</t>
        </is>
      </c>
      <c r="B11" s="6" t="inlineStr">
        <is>
          <t>PO-1089</t>
        </is>
      </c>
      <c r="C11" s="6" t="inlineStr">
        <is>
          <t>SUP-003</t>
        </is>
      </c>
      <c r="D11" s="6" t="inlineStr">
        <is>
          <t>Wrong Item Shipped</t>
        </is>
      </c>
      <c r="E11" s="6" t="n">
        <v>2</v>
      </c>
      <c r="F11" s="26" t="n">
        <v>46131</v>
      </c>
      <c r="G11" s="6" t="inlineStr">
        <is>
          <t>Pending</t>
        </is>
      </c>
    </row>
    <row r="12">
      <c r="A12" s="6" t="inlineStr">
        <is>
          <t>DEF-0011</t>
        </is>
      </c>
      <c r="B12" s="6" t="inlineStr">
        <is>
          <t>PO-1240</t>
        </is>
      </c>
      <c r="C12" s="6" t="inlineStr">
        <is>
          <t>SUP-002</t>
        </is>
      </c>
      <c r="D12" s="6" t="inlineStr">
        <is>
          <t>Wrong Item Shipped</t>
        </is>
      </c>
      <c r="E12" s="6" t="n">
        <v>1</v>
      </c>
      <c r="F12" s="26" t="n">
        <v>46079</v>
      </c>
      <c r="G12" s="6" t="inlineStr">
        <is>
          <t>Replaced</t>
        </is>
      </c>
    </row>
    <row r="13">
      <c r="A13" s="6" t="inlineStr">
        <is>
          <t>DEF-0012</t>
        </is>
      </c>
      <c r="B13" s="6" t="inlineStr">
        <is>
          <t>PO-1076</t>
        </is>
      </c>
      <c r="C13" s="6" t="inlineStr">
        <is>
          <t>SUP-001</t>
        </is>
      </c>
      <c r="D13" s="6" t="inlineStr">
        <is>
          <t>Functional Failure</t>
        </is>
      </c>
      <c r="E13" s="6" t="n">
        <v>1</v>
      </c>
      <c r="F13" s="26" t="n">
        <v>46115</v>
      </c>
      <c r="G13" s="6" t="inlineStr">
        <is>
          <t>Replaced</t>
        </is>
      </c>
    </row>
    <row r="14">
      <c r="A14" s="6" t="inlineStr">
        <is>
          <t>DEF-0013</t>
        </is>
      </c>
      <c r="B14" s="6" t="inlineStr">
        <is>
          <t>PO-1081</t>
        </is>
      </c>
      <c r="C14" s="6" t="inlineStr">
        <is>
          <t>SUP-002</t>
        </is>
      </c>
      <c r="D14" s="6" t="inlineStr">
        <is>
          <t>Packaging Damage</t>
        </is>
      </c>
      <c r="E14" s="6" t="n">
        <v>1</v>
      </c>
      <c r="F14" s="26" t="n">
        <v>46151</v>
      </c>
      <c r="G14" s="6" t="inlineStr">
        <is>
          <t>Replaced</t>
        </is>
      </c>
    </row>
    <row r="15">
      <c r="A15" s="6" t="inlineStr">
        <is>
          <t>DEF-0014</t>
        </is>
      </c>
      <c r="B15" s="6" t="inlineStr">
        <is>
          <t>PO-1147</t>
        </is>
      </c>
      <c r="C15" s="6" t="inlineStr">
        <is>
          <t>SUP-003</t>
        </is>
      </c>
      <c r="D15" s="6" t="inlineStr">
        <is>
          <t>Functional Failure</t>
        </is>
      </c>
      <c r="E15" s="6" t="n">
        <v>2</v>
      </c>
      <c r="F15" s="26" t="n">
        <v>46173</v>
      </c>
      <c r="G15" s="6" t="inlineStr">
        <is>
          <t>Returned</t>
        </is>
      </c>
    </row>
    <row r="16">
      <c r="A16" s="6" t="inlineStr">
        <is>
          <t>DEF-0015</t>
        </is>
      </c>
      <c r="B16" s="6" t="inlineStr">
        <is>
          <t>PO-1141</t>
        </is>
      </c>
      <c r="C16" s="6" t="inlineStr">
        <is>
          <t>SUP-003</t>
        </is>
      </c>
      <c r="D16" s="6" t="inlineStr">
        <is>
          <t>Wrong Item Shipped</t>
        </is>
      </c>
      <c r="E16" s="6" t="n">
        <v>1</v>
      </c>
      <c r="F16" s="26" t="n">
        <v>46189</v>
      </c>
      <c r="G16" s="6" t="inlineStr">
        <is>
          <t>Pending</t>
        </is>
      </c>
    </row>
    <row r="17">
      <c r="A17" s="6" t="inlineStr">
        <is>
          <t>DEF-0016</t>
        </is>
      </c>
      <c r="B17" s="6" t="inlineStr">
        <is>
          <t>PO-1318</t>
        </is>
      </c>
      <c r="C17" s="6" t="inlineStr">
        <is>
          <t>SUP-002</t>
        </is>
      </c>
      <c r="D17" s="6" t="inlineStr">
        <is>
          <t>DOA - Dead on Arrival</t>
        </is>
      </c>
      <c r="E17" s="6" t="n">
        <v>3</v>
      </c>
      <c r="F17" s="26" t="n">
        <v>46185</v>
      </c>
      <c r="G17" s="6" t="inlineStr">
        <is>
          <t>Credited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2026-09-03T08:36:45Z</dcterms:created>
  <dcterms:modified xsi:type="dcterms:W3CDTF">2026-09-03T08:36:46Z</dcterms:modified>
</cp:coreProperties>
</file>